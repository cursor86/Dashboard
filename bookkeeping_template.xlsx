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etup" sheetId="2" state="visible" r:id="rId4"/>
    <sheet name="Transactions" sheetId="3" state="visible" r:id="rId5"/>
    <sheet name="Business Health Dashboard" sheetId="4" state="visible" r:id="rId6"/>
    <sheet name="Monthly Dashboard" sheetId="5" state="visible" r:id="rId7"/>
    <sheet name="Quarterly Dashboard" sheetId="6" state="visible" r:id="rId8"/>
    <sheet name="Yearly Dashboard" sheetId="7" state="visible" r:id="rId9"/>
    <sheet name="5-Year Dashboard" sheetId="8" state="visible" r:id="rId10"/>
    <sheet name="Income Breakdown" sheetId="9" state="visible" r:id="rId11"/>
    <sheet name="Expense Breakdown" sheetId="10" state="visible" r:id="rId12"/>
    <sheet name="Profit &amp; Loss Summary" sheetId="11" state="visible" r:id="rId13"/>
    <sheet name="Tax Summary" sheetId="12" state="visible" r:id="rId14"/>
    <sheet name="Account Balance" sheetId="13" state="visible" r:id="rId15"/>
    <sheet name="Category Trends" sheetId="14" state="visible" r:id="rId16"/>
    <sheet name="Notes &amp; Legend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<sst xmlns="http://schemas.openxmlformats.org/spreadsheetml/2006/main" count="313" uniqueCount="146">
  <si>
    <t xml:space="preserve">How to Use This Bookkeeping Dashboard</t>
  </si>
  <si>
    <t xml:space="preserve">1. Open the 'Setup' tab first. Confirm your income/expense categories, tax rate, profit goals, and starting bank balance.</t>
  </si>
  <si>
    <t xml:space="preserve">2. Log every transaction in the 'Transactions' tab — Date, Type (Income/Expense), Category, Description, Amount, and Tax Collected. Use the dropdowns for Type and Category; income/expense rows are color-coded automatically.</t>
  </si>
  <si>
    <t xml:space="preserve">3. Check the 'Business Health Dashboard' for an at-a-glance view of cash on hand, YTD profit, margin, growth, cash runway, goal progress, top categories, and a Business Health Score.</t>
  </si>
  <si>
    <t xml:space="preserve">4. The 'Monthly Dashboard', 'Quarterly Dashboard', 'Yearly Dashboard', and '5-Year Dashboard' tabs update automatically — just change the Year/Month/Quarter selector cells (yellow) at the top of each tab.</t>
  </si>
  <si>
    <t xml:space="preserve">5. 'Income Breakdown' and 'Expense Breakdown' show all-time and current-year totals by category with charts and data bars.</t>
  </si>
  <si>
    <t xml:space="preserve">6. 'Profit &amp; Loss Summary' shows one row per year with year-over-year growth; 'Tax Summary' shows tax collected by month; 'Account Balance' tracks your running cash balance and reconciles against your bank statement; 'Category Trends' shows a 12-month heatmap per category.</t>
  </si>
  <si>
    <t xml:space="preserve">7. Only edit yellow (input) or white cells. Green-header and formula cells update automatically — do not overwrite them.</t>
  </si>
  <si>
    <t xml:space="preserve">8. To log more than 100 transactions, select the last formatted row and copy it downward; formulas will carry over.</t>
  </si>
  <si>
    <t xml:space="preserve">Prepared for {{CLIENT_NAME}} ({{NICHE}}). Amounts are in {{CURRENCY}}.</t>
  </si>
  <si>
    <t xml:space="preserve">{{CLIENT_NAME}} — Setup</t>
  </si>
  <si>
    <t xml:space="preserve">{{NICHE}} — configure once, everything else updates automatically</t>
  </si>
  <si>
    <t xml:space="preserve">Setting</t>
  </si>
  <si>
    <t xml:space="preserve">Value</t>
  </si>
  <si>
    <t xml:space="preserve">Tax Rate (%)</t>
  </si>
  <si>
    <t xml:space="preserve">Monthly Profit Goal ({{CURRENCY}})</t>
  </si>
  <si>
    <t xml:space="preserve">Annual Profit Goal ({{CURRENCY}})</t>
  </si>
  <si>
    <t xml:space="preserve">Starting Bank Balance ({{CURRENCY}})</t>
  </si>
  <si>
    <t xml:space="preserve">Income Categories</t>
  </si>
  <si>
    <t xml:space="preserve">Expense Categories</t>
  </si>
  <si>
    <t xml:space="preserve">All Categories (Transactions dropdown)</t>
  </si>
  <si>
    <t xml:space="preserve">Sales Revenue</t>
  </si>
  <si>
    <t xml:space="preserve">Cost of Goods</t>
  </si>
  <si>
    <t xml:space="preserve">Shipping Income</t>
  </si>
  <si>
    <t xml:space="preserve">Shipping Costs</t>
  </si>
  <si>
    <t xml:space="preserve">Custom Orders</t>
  </si>
  <si>
    <t xml:space="preserve">Marketing</t>
  </si>
  <si>
    <t xml:space="preserve">Wholesale</t>
  </si>
  <si>
    <t xml:space="preserve">Software &amp; Tools</t>
  </si>
  <si>
    <t xml:space="preserve">Other Income</t>
  </si>
  <si>
    <t xml:space="preserve">Fees &amp; Commissions</t>
  </si>
  <si>
    <t xml:space="preserve">Office Supplies</t>
  </si>
  <si>
    <t xml:space="preserve">Rent</t>
  </si>
  <si>
    <t xml:space="preserve">Utilities</t>
  </si>
  <si>
    <t xml:space="preserve">Other Expense</t>
  </si>
  <si>
    <t xml:space="preserve">{{CLIENT_NAME}} — Transactions</t>
  </si>
  <si>
    <t xml:space="preserve">Date</t>
  </si>
  <si>
    <t xml:space="preserve">Type</t>
  </si>
  <si>
    <t xml:space="preserve">Category</t>
  </si>
  <si>
    <t xml:space="preserve">Description</t>
  </si>
  <si>
    <t xml:space="preserve">Amount ({{CURRENCY}})</t>
  </si>
  <si>
    <t xml:space="preserve">Tax Collected ({{CURRENCY}})</t>
  </si>
  <si>
    <t xml:space="preserve">Year</t>
  </si>
  <si>
    <t xml:space="preserve">Month</t>
  </si>
  <si>
    <t xml:space="preserve">{{CLIENT_NAME}} — Business Health Dashboard</t>
  </si>
  <si>
    <t xml:space="preserve">{{NICHE}} — your business at a glance, figures in {{CURRENCY}}</t>
  </si>
  <si>
    <t xml:space="preserve">Cash on Hand ({{CURRENCY}})</t>
  </si>
  <si>
    <t xml:space="preserve">YTD Net Profit ({{CURRENCY}})</t>
  </si>
  <si>
    <t xml:space="preserve">Profit Margin (YTD)</t>
  </si>
  <si>
    <t xml:space="preserve">YoY Income Growth</t>
  </si>
  <si>
    <t xml:space="preserve">Cash Runway (Months)</t>
  </si>
  <si>
    <t xml:space="preserve">Goal Progress — YTD Net Profit vs Annual Goal</t>
  </si>
  <si>
    <t xml:space="preserve">Progress</t>
  </si>
  <si>
    <t xml:space="preserve">Top Category This Year</t>
  </si>
  <si>
    <t xml:space="preserve">Top Income</t>
  </si>
  <si>
    <t xml:space="preserve">Top Expense</t>
  </si>
  <si>
    <t xml:space="preserve">Business Health Score</t>
  </si>
  <si>
    <t xml:space="preserve">Margin Score (30%+ margin = 100)</t>
  </si>
  <si>
    <t xml:space="preserve">Growth Score (-20% to +20% mapped to 0-100)</t>
  </si>
  <si>
    <t xml:space="preserve">Runway Score (6+ months = 100)</t>
  </si>
  <si>
    <t xml:space="preserve">Overall Health Score (0-100)</t>
  </si>
  <si>
    <t xml:space="preserve">Methodology: each sub-score is a simple linear scale between the thresholds shown (e.g. Margin Score reaches 100 once Profit Margin hits 30%). This is a rule-of-thumb indicator, not professional financial advice.</t>
  </si>
  <si>
    <t xml:space="preserve">{{CLIENT_NAME}} — Monthly Dashboard</t>
  </si>
  <si>
    <t xml:space="preserve">{{NICHE}} — figures in {{CURRENCY}}</t>
  </si>
  <si>
    <t xml:space="preserve">Total Income ({{CURRENCY}})</t>
  </si>
  <si>
    <t xml:space="preserve">Total Expenses ({{CURRENCY}})</t>
  </si>
  <si>
    <t xml:space="preserve">Net Profit ({{CURRENCY}})</t>
  </si>
  <si>
    <t xml:space="preserve">Profit Margin</t>
  </si>
  <si>
    <t xml:space="preserve">Income by Category</t>
  </si>
  <si>
    <t xml:space="preserve">Expenses by Category</t>
  </si>
  <si>
    <t xml:space="preserve">Amount</t>
  </si>
  <si>
    <t xml:space="preserve">Income vs Expenses</t>
  </si>
  <si>
    <t xml:space="preserve">Metric</t>
  </si>
  <si>
    <t xml:space="preserve">Income</t>
  </si>
  <si>
    <t xml:space="preserve">Expenses</t>
  </si>
  <si>
    <t xml:space="preserve">{{CLIENT_NAME}} — Quarterly Dashboard</t>
  </si>
  <si>
    <t xml:space="preserve">Quarter</t>
  </si>
  <si>
    <t xml:space="preserve">Net Profit by Quarter — Selected Year</t>
  </si>
  <si>
    <t xml:space="preserve">Net Profit</t>
  </si>
  <si>
    <t xml:space="preserve">Q1</t>
  </si>
  <si>
    <t xml:space="preserve">Q2</t>
  </si>
  <si>
    <t xml:space="preserve">Q3</t>
  </si>
  <si>
    <t xml:space="preserve">Q4</t>
  </si>
  <si>
    <t xml:space="preserve">{{CLIENT_NAME}} — Yearly Dashboard</t>
  </si>
  <si>
    <t xml:space="preserve">Monthly Breakdown — Selected Year</t>
  </si>
  <si>
    <t xml:space="preserve">Goal</t>
  </si>
  <si>
    <t xml:space="preserve">vs Goal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</si>
  <si>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</si>
  <si>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</si>
  <si>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</si>
  <si>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</si>
  <si>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</si>
  <si>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</si>
  <si>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</si>
  <si>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</si>
  <si>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</si>
  <si>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</si>
  <si>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</si>
  <si>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</si>
  <si>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{{CLIENT_NAME}} — 5-Year Dashboard</t>
  </si>
  <si>
    <t xml:space="preserve">Uses the first 5 years listed in 'Profit &amp; Loss Summary' (set Start Year there).</t>
  </si>
  <si>
    <t xml:space="preserve">5-Year Totals</t>
  </si>
  <si>
    <t xml:space="preserve">Total Net Profit ({{CURRENCY}})</t>
  </si>
  <si>
    <t xml:space="preserve">Avg Annual Profit ({{CURRENCY}})</t>
  </si>
  <si>
    <t xml:space="preserve">{{CLIENT_NAME}} — Income Breakdown</t>
  </si>
  <si>
    <t xml:space="preserve">Current Year</t>
  </si>
  <si>
    <t xml:space="preserve">All-Time Total</t>
  </si>
  <si>
    <t xml:space="preserve">Current Year Total</t>
  </si>
  <si>
    <t xml:space="preserve">{{CLIENT_NAME}} — Expense Breakdown</t>
  </si>
  <si>
    <t xml:space="preserve">{{CLIENT_NAME}} — Profit &amp; Loss Summary</t>
  </si>
  <si>
    <t xml:space="preserve">{{NICHE}} — one row per year, figures in {{CURRENCY}}</t>
  </si>
  <si>
    <t xml:space="preserve">Start Year</t>
  </si>
  <si>
    <t xml:space="preserve">(table below lists this year and the next 9 years)</t>
  </si>
  <si>
    <t xml:space="preserve">Tax Collected</t>
  </si>
  <si>
    <t xml:space="preserve">{{CLIENT_NAME}} — Tax Summary</t>
  </si>
  <si>
    <t xml:space="preserve">Annual Total</t>
  </si>
  <si>
    <t xml:space="preserve">{{CLIENT_NAME}} — Account Balance</t>
  </si>
  <si>
    <t xml:space="preserve">Starting Balance ({{CURRENCY}})</t>
  </si>
  <si>
    <t xml:space="preserve">Current Balance ({{CURRENCY}})</t>
  </si>
  <si>
    <t xml:space="preserve">Bank Reconciliation</t>
  </si>
  <si>
    <t xml:space="preserve">Statement Date</t>
  </si>
  <si>
    <t xml:space="preserve">Bank Statement Balance ({{CURRENCY}})</t>
  </si>
  <si>
    <t xml:space="preserve">Book Balance as of Statement Date ({{CURRENCY}})</t>
  </si>
  <si>
    <t xml:space="preserve">Difference ({{CURRENCY}})</t>
  </si>
  <si>
    <t xml:space="preserve">Ending Balance by Month</t>
  </si>
  <si>
    <t xml:space="preserve">Ending Balance</t>
  </si>
  <si>
    <t xml:space="preserve">{{CLIENT_NAME}} — Category Trends</t>
  </si>
  <si>
    <t xml:space="preserve">{{NICHE}} — 12-month trend by category, figures in {{CURRENCY}}</t>
  </si>
  <si>
    <t xml:space="preserve">Expense</t>
  </si>
  <si>
    <t xml:space="preserve">Notes &amp; Legend</t>
  </si>
  <si>
    <t xml:space="preserve">Color / Style</t>
  </si>
  <si>
    <t xml:space="preserve">Meaning</t>
  </si>
  <si>
    <t xml:space="preserve">Yellow cells</t>
  </si>
  <si>
    <t xml:space="preserve">Input cells — change these (Year, Quarter, Month, Tax Rate, Goals, Starting Balance).</t>
  </si>
  <si>
    <t xml:space="preserve">White cells with borders</t>
  </si>
  <si>
    <t xml:space="preserve">Data entry rows in the Transactions tab.</t>
  </si>
  <si>
    <t xml:space="preserve">Green header cells</t>
  </si>
  <si>
    <t xml:space="preserve">Column headers — do not edit.</t>
  </si>
  <si>
    <t xml:space="preserve">Black formula cells</t>
  </si>
  <si>
    <t xml:space="preserve">Calculated automatically from the Transactions tab — do not overwrite.</t>
  </si>
  <si>
    <t xml:space="preserve">Light green / light red rows (Transactions)</t>
  </si>
  <si>
    <t xml:space="preserve">Automatic color coding — green rows are Income, red rows are Expense.</t>
  </si>
  <si>
    <t xml:space="preserve">Colored bars inside cells</t>
  </si>
  <si>
    <t xml:space="preserve">Data bars on breakdown and balance tables — longer bar = larger amount, for at-a-glance scanning.</t>
  </si>
  <si>
    <t xml:space="preserve">Red-yellow-green shading</t>
  </si>
  <si>
    <t xml:space="preserve">Color scales on YoY Growth, Category Trends, and the Business Health Score — red is low, green is high.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</si>
</sst>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#,##0.00"/>
    <numFmt numFmtId="167" formatCode="mm/dd/yyyy"/>
    <numFmt numFmtId="168" formatCode="0.0"/>
    <numFmt numFmtId="169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F5233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i val="true"/>
      <sz val="12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F5233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2F523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F5233"/>
        <bgColor rgb="FF555555"/>
      </patternFill>
    </fill>
    <fill>
      <patternFill patternType="solid">
        <fgColor rgb="FFFFFDE7"/>
        <bgColor rgb="FFFFFFFF"/>
      </patternFill>
    </fill>
    <fill>
      <patternFill patternType="solid">
        <fgColor rgb="FF4C7A47"/>
        <bgColor rgb="FF555555"/>
      </patternFill>
    </fill>
    <fill>
      <patternFill patternType="solid">
        <fgColor rgb="FFEFF5EC"/>
        <bgColor rgb="FFEAF7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AF7EC"/>
        </patternFill>
      </fill>
    </dxf>
    <dxf>
      <fill>
        <patternFill>
          <bgColor rgb="FFFDEE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C7A47"/>
      <rgbColor rgb="FF800080"/>
      <rgbColor rgb="FF4F81BD"/>
      <rgbColor rgb="FFCCCCCC"/>
      <rgbColor rgb="FF878787"/>
      <rgbColor rgb="FF93A9CE"/>
      <rgbColor rgb="FFAB4744"/>
      <rgbColor rgb="FFFFFDE7"/>
      <rgbColor rgb="FFEAF7EC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5EC"/>
      <rgbColor rgb="FFCCFFCC"/>
      <rgbColor rgb="FFFDEEEE"/>
      <rgbColor rgb="FFB8CD97"/>
      <rgbColor rgb="FFD09493"/>
      <rgbColor rgb="FF8064A2"/>
      <rgbColor rgb="FFFFCC99"/>
      <rgbColor rgb="FF4A7EBB"/>
      <rgbColor rgb="FF4BACC6"/>
      <rgbColor rgb="FF9BBB59"/>
      <rgbColor rgb="FFFFCC00"/>
      <rgbColor rgb="FF8AA64F"/>
      <rgbColor rgb="FFFF6600"/>
      <rgbColor rgb="FF725990"/>
      <rgbColor rgb="FF888888"/>
      <rgbColor rgb="FF003366"/>
      <rgbColor rgb="FF4299B0"/>
      <rgbColor rgb="FF003300"/>
      <rgbColor rgb="FF333300"/>
      <rgbColor rgb="FF993300"/>
      <rgbColor rgb="FFC0504D"/>
      <rgbColor rgb="FF555555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'Monthly Dashboard'!$A$11:$A$15</c:f>
              <c:strCache>
                <c:ptCount val="5"/>
                <c:pt idx="0">
                  <c:v>Sales Revenue</c:v>
                </c:pt>
                <c:pt idx="1">
                  <c:v>Shipping Income</c:v>
                </c:pt>
                <c:pt idx="2">
                  <c:v>Custom Orders</c:v>
                </c:pt>
                <c:pt idx="3">
                  <c:v>Wholesale</c:v>
                </c:pt>
                <c:pt idx="4">
                  <c:v>Other Income</c:v>
                </c:pt>
              </c:strCache>
            </c:strRef>
          </c:cat>
          <c:val>
            <c:numRef>
              <c:f>'Monthly Dashboard'!$B$11:$B$15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'Monthly Dashboard'!$D$11:$D$19</c:f>
              <c:strCache>
                <c:ptCount val="9"/>
                <c:pt idx="0">
                  <c:v>Cost of Goods</c:v>
                </c:pt>
                <c:pt idx="1">
                  <c:v>Shipping Costs</c:v>
                </c:pt>
                <c:pt idx="2">
                  <c:v>Marketing</c:v>
                </c:pt>
                <c:pt idx="3">
                  <c:v>Software &amp; Tools</c:v>
                </c:pt>
                <c:pt idx="4">
                  <c:v>Fees &amp; Commissions</c:v>
                </c:pt>
                <c:pt idx="5">
                  <c:v>Office Supplies</c:v>
                </c:pt>
                <c:pt idx="6">
                  <c:v>Rent</c:v>
                </c:pt>
                <c:pt idx="7">
                  <c:v>Utilities</c:v>
                </c:pt>
                <c:pt idx="8">
                  <c:v>Other Expense</c:v>
                </c:pt>
              </c:strCache>
            </c:strRef>
          </c:cat>
          <c:val>
            <c:numRef>
              <c:f>'Monthly Dashboard'!$E$11:$E$19</c:f>
              <c:numCache>
                <c:formatCode>#,##0.00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Income vs Expenses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Dashboard'!B25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Dashboard'!$A$26:$A$27</c:f>
              <c:strCache>
                <c:ptCount val="2"/>
                <c:pt idx="0">
                  <c:v>Income</c:v>
                </c:pt>
                <c:pt idx="1">
                  <c:v>Expenses</c:v>
                </c:pt>
              </c:strCache>
            </c:strRef>
          </c:cat>
          <c:val>
            <c:numRef>
              <c:f>'Monthly Dashboard'!$B$26:$B$27</c:f>
              <c:numCache>
                <c:formatCode>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gapWidth val="150"/>
        <c:overlap val="0"/>
        <c:axId val="55475747"/>
        <c:axId val="91034759"/>
      </c:barChart>
      <c:catAx>
        <c:axId val="554757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34759"/>
        <c:crosses val="autoZero"/>
        <c:auto val="1"/>
        <c:lblAlgn val="ctr"/>
        <c:lblOffset val="100"/>
        <c:noMultiLvlLbl val="0"/>
      </c:catAx>
      <c:valAx>
        <c:axId val="910347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{{CURRENCY}}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757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Income / Expenses / Net Profit by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'Quarterly Dashboard'!B10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'Quarterly Dashboard'!$A$11:$A$14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'Quarterly Dashboard'!$B$11:$B$14</c:f>
              <c:numCache>
                <c:formatCode>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'Quarterly Dashboard'!C10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'Quarterly Dashboard'!$A$11:$A$14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'Quarterly Dashboard'!$C$11:$C$14</c:f>
              <c:numCache>
                <c:formatCode>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'Quarterly Dashboard'!D10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'Quarterly Dashboard'!$A$11:$A$14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'Quarterly Dashboard'!$D$11:$D$14</c:f>
              <c:numCache>
                <c:formatCode>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41076862"/>
        <c:axId val="57819110"/>
      </c:barChart>
      <c:catAx>
        <c:axId val="410768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819110"/>
        <c:crosses val="autoZero"/>
        <c:auto val="1"/>
        <c:lblAlgn val="ctr"/>
        <c:lblOffset val="100"/>
        <c:noMultiLvlLbl val="0"/>
      </c:catAx>
      <c:valAx>
        <c:axId val="578191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{{CURRENCY}}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768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Profit by Month — Selected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'Yearly Dashboard'!D10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Dashboard'!$A$11:$A$22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'Yearly Dashboard'!$D$11:$D$22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51836746"/>
        <c:axId val="28599433"/>
      </c:barChart>
      <c:catAx>
        <c:axId val="518367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599433"/>
        <c:crosses val="autoZero"/>
        <c:auto val="1"/>
        <c:lblAlgn val="ctr"/>
        <c:lblOffset val="100"/>
        <c:noMultiLvlLbl val="0"/>
      </c:catAx>
      <c:valAx>
        <c:axId val="285994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{{CURRENCY}}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367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Income / Expenses / Net Profit — 5 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'5-Year Dashboard'!B5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'5-Year Dashboard'!$A$6:$A$10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'5-Year Dashboard'!$B$6:$B$10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'5-Year Dashboard'!C5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'5-Year Dashboard'!$A$6:$A$10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'5-Year Dashboard'!$C$6:$C$10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'5-Year Dashboard'!D5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'5-Year Dashboard'!$A$6:$A$10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'5-Year Dashboard'!$D$6:$D$10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85555836"/>
        <c:axId val="11949451"/>
      </c:barChart>
      <c:catAx>
        <c:axId val="8555583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949451"/>
        <c:crosses val="autoZero"/>
        <c:auto val="1"/>
        <c:lblAlgn val="ctr"/>
        <c:lblOffset val="100"/>
        <c:noMultiLvlLbl val="0"/>
      </c:catAx>
      <c:valAx>
        <c:axId val="119494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{{CURRENCY}}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5558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All-Time Income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'Income Breakdown'!$A$6:$A$10</c:f>
              <c:strCache>
                <c:ptCount val="5"/>
                <c:pt idx="0">
                  <c:v>Sales Revenue</c:v>
                </c:pt>
                <c:pt idx="1">
                  <c:v>Shipping Income</c:v>
                </c:pt>
                <c:pt idx="2">
                  <c:v>Custom Orders</c:v>
                </c:pt>
                <c:pt idx="3">
                  <c:v>Wholesale</c:v>
                </c:pt>
                <c:pt idx="4">
                  <c:v>Other Income</c:v>
                </c:pt>
              </c:strCache>
            </c:strRef>
          </c:cat>
          <c:val>
            <c:numRef>
              <c:f>'Income Breakdown'!$B$6:$B$10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All-Time Expenses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'Expense Breakdown'!$A$6:$A$14</c:f>
              <c:strCache>
                <c:ptCount val="9"/>
                <c:pt idx="0">
                  <c:v>Cost of Goods</c:v>
                </c:pt>
                <c:pt idx="1">
                  <c:v>Shipping Costs</c:v>
                </c:pt>
                <c:pt idx="2">
                  <c:v>Marketing</c:v>
                </c:pt>
                <c:pt idx="3">
                  <c:v>Software &amp; Tools</c:v>
                </c:pt>
                <c:pt idx="4">
                  <c:v>Fees &amp; Commissions</c:v>
                </c:pt>
                <c:pt idx="5">
                  <c:v>Office Supplies</c:v>
                </c:pt>
                <c:pt idx="6">
                  <c:v>Rent</c:v>
                </c:pt>
                <c:pt idx="7">
                  <c:v>Utilities</c:v>
                </c:pt>
                <c:pt idx="8">
                  <c:v>Other Expense</c:v>
                </c:pt>
              </c:strCache>
            </c:strRef>
          </c:cat>
          <c:val>
            <c:numRef>
              <c:f>'Expense Breakdown'!$B$6:$B$14</c:f>
              <c:numCache>
                <c:formatCode>#,##0.00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Profit Trend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'Profit &amp; Loss Summary'!D5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'Profit &amp; Loss Summary'!$A$6:$A$15</c:f>
              <c:strCache>
                <c:ptCount val="10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</c:strCache>
            </c:strRef>
          </c:cat>
          <c:val>
            <c:numRef>
              <c:f>'Profit &amp; Loss Summary'!$D$6:$D$15</c:f>
              <c:numCache>
                <c:formatCode>#,##0.00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078730"/>
        <c:axId val="59511018"/>
      </c:lineChart>
      <c:catAx>
        <c:axId val="600787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511018"/>
        <c:crosses val="autoZero"/>
        <c:auto val="1"/>
        <c:lblAlgn val="ctr"/>
        <c:lblOffset val="100"/>
        <c:noMultiLvlLbl val="0"/>
      </c:catAx>
      <c:valAx>
        <c:axId val="595110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787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Tax Collected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'Tax Summary'!B5</c:f>
              <c:strCache>
                <c:ptCount val="1"/>
                <c:pt idx="0">
                  <c:v>Tax Collected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'Tax Summary'!$A$6:$A$17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'Tax Summary'!$B$6:$B$17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44485420"/>
        <c:axId val="26811196"/>
      </c:barChart>
      <c:catAx>
        <c:axId val="444854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811196"/>
        <c:crosses val="autoZero"/>
        <c:auto val="1"/>
        <c:lblAlgn val="ctr"/>
        <c:lblOffset val="100"/>
        <c:noMultiLvlLbl val="0"/>
      </c:catAx>
      <c:valAx>
        <c:axId val="268111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{{CURRENCY}}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4854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Cash Balance Over Time — Selected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'Account Balance'!B14</c:f>
              <c:strCache>
                <c:ptCount val="1"/>
                <c:pt idx="0">
                  <c:v>Ending Balance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'Account Balance'!$A$15:$A$26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'Account Balance'!$B$15:$B$26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007547"/>
        <c:axId val="89725098"/>
      </c:lineChart>
      <c:catAx>
        <c:axId val="210075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725098"/>
        <c:crosses val="autoZero"/>
        <c:auto val="1"/>
        <c:lblAlgn val="ctr"/>
        <c:lblOffset val="100"/>
        <c:noMultiLvlLbl val="0"/>
      </c:catAx>
      <c:valAx>
        <c:axId val="897250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075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7</xdr:row>
      <xdr:rowOff>176040</xdr:rowOff>
    </xdr:from>
    <xdr:to>
      <xdr:col>10</xdr:col>
      <xdr:colOff>204480</xdr:colOff>
      <xdr:row>21</xdr:row>
      <xdr:rowOff>28800</xdr:rowOff>
    </xdr:to>
    <xdr:graphicFrame>
      <xdr:nvGraphicFramePr>
        <xdr:cNvPr id="0" name="Chart 1"/>
        <xdr:cNvGraphicFramePr/>
      </xdr:nvGraphicFramePr>
      <xdr:xfrm>
        <a:off x="9601200" y="180036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7</xdr:row>
      <xdr:rowOff>176040</xdr:rowOff>
    </xdr:from>
    <xdr:to>
      <xdr:col>17</xdr:col>
      <xdr:colOff>204480</xdr:colOff>
      <xdr:row>21</xdr:row>
      <xdr:rowOff>28800</xdr:rowOff>
    </xdr:to>
    <xdr:graphicFrame>
      <xdr:nvGraphicFramePr>
        <xdr:cNvPr id="1" name="Chart 2"/>
        <xdr:cNvGraphicFramePr/>
      </xdr:nvGraphicFramePr>
      <xdr:xfrm>
        <a:off x="14913000" y="180036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22</xdr:row>
      <xdr:rowOff>175680</xdr:rowOff>
    </xdr:from>
    <xdr:to>
      <xdr:col>10</xdr:col>
      <xdr:colOff>204480</xdr:colOff>
      <xdr:row>36</xdr:row>
      <xdr:rowOff>28440</xdr:rowOff>
    </xdr:to>
    <xdr:graphicFrame>
      <xdr:nvGraphicFramePr>
        <xdr:cNvPr id="2" name="Chart 3"/>
        <xdr:cNvGraphicFramePr/>
      </xdr:nvGraphicFramePr>
      <xdr:xfrm>
        <a:off x="9601200" y="465768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7</xdr:row>
      <xdr:rowOff>176040</xdr:rowOff>
    </xdr:from>
    <xdr:to>
      <xdr:col>11</xdr:col>
      <xdr:colOff>126720</xdr:colOff>
      <xdr:row>22</xdr:row>
      <xdr:rowOff>18000</xdr:rowOff>
    </xdr:to>
    <xdr:graphicFrame>
      <xdr:nvGraphicFramePr>
        <xdr:cNvPr id="3" name="Chart 1"/>
        <xdr:cNvGraphicFramePr/>
      </xdr:nvGraphicFramePr>
      <xdr:xfrm>
        <a:off x="7112160" y="180036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7</xdr:row>
      <xdr:rowOff>176040</xdr:rowOff>
    </xdr:from>
    <xdr:to>
      <xdr:col>14</xdr:col>
      <xdr:colOff>447840</xdr:colOff>
      <xdr:row>22</xdr:row>
      <xdr:rowOff>18000</xdr:rowOff>
    </xdr:to>
    <xdr:graphicFrame>
      <xdr:nvGraphicFramePr>
        <xdr:cNvPr id="4" name="Chart 1"/>
        <xdr:cNvGraphicFramePr/>
      </xdr:nvGraphicFramePr>
      <xdr:xfrm>
        <a:off x="8226360" y="18003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176040</xdr:rowOff>
    </xdr:from>
    <xdr:to>
      <xdr:col>13</xdr:col>
      <xdr:colOff>49320</xdr:colOff>
      <xdr:row>16</xdr:row>
      <xdr:rowOff>122760</xdr:rowOff>
    </xdr:to>
    <xdr:graphicFrame>
      <xdr:nvGraphicFramePr>
        <xdr:cNvPr id="5" name="Chart 1"/>
        <xdr:cNvGraphicFramePr/>
      </xdr:nvGraphicFramePr>
      <xdr:xfrm>
        <a:off x="6093000" y="76212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176040</xdr:rowOff>
    </xdr:from>
    <xdr:to>
      <xdr:col>9</xdr:col>
      <xdr:colOff>525600</xdr:colOff>
      <xdr:row>20</xdr:row>
      <xdr:rowOff>177120</xdr:rowOff>
    </xdr:to>
    <xdr:graphicFrame>
      <xdr:nvGraphicFramePr>
        <xdr:cNvPr id="6" name="Chart 1"/>
        <xdr:cNvGraphicFramePr/>
      </xdr:nvGraphicFramePr>
      <xdr:xfrm>
        <a:off x="6093000" y="76212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176040</xdr:rowOff>
    </xdr:from>
    <xdr:to>
      <xdr:col>9</xdr:col>
      <xdr:colOff>525600</xdr:colOff>
      <xdr:row>20</xdr:row>
      <xdr:rowOff>177120</xdr:rowOff>
    </xdr:to>
    <xdr:graphicFrame>
      <xdr:nvGraphicFramePr>
        <xdr:cNvPr id="7" name="Chart 1"/>
        <xdr:cNvGraphicFramePr/>
      </xdr:nvGraphicFramePr>
      <xdr:xfrm>
        <a:off x="6093000" y="76212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176040</xdr:rowOff>
    </xdr:from>
    <xdr:to>
      <xdr:col>14</xdr:col>
      <xdr:colOff>447840</xdr:colOff>
      <xdr:row>17</xdr:row>
      <xdr:rowOff>58320</xdr:rowOff>
    </xdr:to>
    <xdr:graphicFrame>
      <xdr:nvGraphicFramePr>
        <xdr:cNvPr id="8" name="Chart 1"/>
        <xdr:cNvGraphicFramePr/>
      </xdr:nvGraphicFramePr>
      <xdr:xfrm>
        <a:off x="9334440" y="7621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</xdr:row>
      <xdr:rowOff>176040</xdr:rowOff>
    </xdr:from>
    <xdr:to>
      <xdr:col>9</xdr:col>
      <xdr:colOff>486720</xdr:colOff>
      <xdr:row>18</xdr:row>
      <xdr:rowOff>18000</xdr:rowOff>
    </xdr:to>
    <xdr:graphicFrame>
      <xdr:nvGraphicFramePr>
        <xdr:cNvPr id="9" name="Chart 1"/>
        <xdr:cNvGraphicFramePr/>
      </xdr:nvGraphicFramePr>
      <xdr:xfrm>
        <a:off x="3603600" y="76212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11</xdr:row>
      <xdr:rowOff>175680</xdr:rowOff>
    </xdr:from>
    <xdr:to>
      <xdr:col>12</xdr:col>
      <xdr:colOff>447840</xdr:colOff>
      <xdr:row>26</xdr:row>
      <xdr:rowOff>18000</xdr:rowOff>
    </xdr:to>
    <xdr:graphicFrame>
      <xdr:nvGraphicFramePr>
        <xdr:cNvPr id="10" name="Chart 1"/>
        <xdr:cNvGraphicFramePr/>
      </xdr:nvGraphicFramePr>
      <xdr:xfrm>
        <a:off x="7870680" y="25621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8" min="1" style="0" width="18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4" customFormat="false" ht="27.7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27.75" hidden="false" customHeight="true" outlineLevel="0" collapsed="false">
      <c r="A5" s="2" t="s">
        <v>2</v>
      </c>
      <c r="B5" s="2"/>
      <c r="C5" s="2"/>
      <c r="D5" s="2"/>
      <c r="E5" s="2"/>
      <c r="F5" s="2"/>
      <c r="G5" s="2"/>
      <c r="H5" s="2"/>
    </row>
    <row r="6" customFormat="false" ht="27.75" hidden="false" customHeight="true" outlineLevel="0" collapsed="false">
      <c r="A6" s="2" t="s">
        <v>3</v>
      </c>
      <c r="B6" s="2"/>
      <c r="C6" s="2"/>
      <c r="D6" s="2"/>
      <c r="E6" s="2"/>
      <c r="F6" s="2"/>
      <c r="G6" s="2"/>
      <c r="H6" s="2"/>
    </row>
    <row r="7" customFormat="false" ht="27.75" hidden="false" customHeight="true" outlineLevel="0" collapsed="false">
      <c r="A7" s="2" t="s">
        <v>4</v>
      </c>
      <c r="B7" s="2"/>
      <c r="C7" s="2"/>
      <c r="D7" s="2"/>
      <c r="E7" s="2"/>
      <c r="F7" s="2"/>
      <c r="G7" s="2"/>
      <c r="H7" s="2"/>
    </row>
    <row r="8" customFormat="false" ht="27.75" hidden="false" customHeight="tru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27.75" hidden="false" customHeight="true" outlineLevel="0" collapsed="false">
      <c r="A9" s="2" t="s">
        <v>6</v>
      </c>
      <c r="B9" s="2"/>
      <c r="C9" s="2"/>
      <c r="D9" s="2"/>
      <c r="E9" s="2"/>
      <c r="F9" s="2"/>
      <c r="G9" s="2"/>
      <c r="H9" s="2"/>
    </row>
    <row r="10" customFormat="false" ht="27.75" hidden="false" customHeight="true" outlineLevel="0" collapsed="false">
      <c r="A10" s="2" t="s">
        <v>7</v>
      </c>
      <c r="B10" s="2"/>
      <c r="C10" s="2"/>
      <c r="D10" s="2"/>
      <c r="E10" s="2"/>
      <c r="F10" s="2"/>
      <c r="G10" s="2"/>
      <c r="H10" s="2"/>
    </row>
    <row r="11" customFormat="false" ht="27.75" hidden="false" customHeight="true" outlineLevel="0" collapsed="false">
      <c r="A11" s="2" t="s">
        <v>8</v>
      </c>
      <c r="B11" s="2"/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3" t="s">
        <v>9</v>
      </c>
      <c r="B12" s="3"/>
      <c r="C12" s="3"/>
      <c r="D12" s="3"/>
      <c r="E12" s="3"/>
      <c r="F12" s="3"/>
      <c r="G12" s="3"/>
      <c r="H12" s="3"/>
    </row>
  </sheetData>
  <mergeCells count="10">
    <mergeCell ref="A1:H1"/>
    <mergeCell ref="A4:H4"/>
    <mergeCell ref="A5:H5"/>
    <mergeCell ref="A6:H6"/>
    <mergeCell ref="A7:H7"/>
    <mergeCell ref="A8:H8"/>
    <mergeCell ref="A9:H9"/>
    <mergeCell ref="A10:H10"/>
    <mergeCell ref="A11:H11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6"/>
  </cols>
  <sheetData>
    <row r="1" customFormat="false" ht="16.15" hidden="false" customHeight="false" outlineLevel="0" collapsed="false">
      <c r="A1" s="1" t="s">
        <v>10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4" t="s">
        <v>11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5" t="s">
        <v>12</v>
      </c>
      <c r="B3" s="5" t="s">
        <v>13</v>
      </c>
    </row>
    <row r="4" customFormat="false" ht="15" hidden="false" customHeight="false" outlineLevel="0" collapsed="false">
      <c r="A4" s="6" t="s">
        <v>14</v>
      </c>
      <c r="B4" s="7" t="n">
        <v>0.1</v>
      </c>
    </row>
    <row r="5" customFormat="false" ht="15" hidden="false" customHeight="false" outlineLevel="0" collapsed="false">
      <c r="A5" s="6" t="s">
        <v>15</v>
      </c>
      <c r="B5" s="8" t="n">
        <v>2000</v>
      </c>
    </row>
    <row r="6" customFormat="false" ht="15" hidden="false" customHeight="false" outlineLevel="0" collapsed="false">
      <c r="A6" s="6" t="s">
        <v>16</v>
      </c>
      <c r="B6" s="9" t="n">
        <f aca="false">B5*12</f>
        <v>24000</v>
      </c>
    </row>
    <row r="7" customFormat="false" ht="15" hidden="false" customHeight="false" outlineLevel="0" collapsed="false">
      <c r="A7" s="6" t="s">
        <v>17</v>
      </c>
      <c r="B7" s="8" t="n">
        <v>0</v>
      </c>
    </row>
    <row r="8" customFormat="false" ht="15" hidden="false" customHeight="false" outlineLevel="0" collapsed="false">
      <c r="A8" s="6" t="s">
        <v>18</v>
      </c>
      <c r="B8" s="6" t="s">
        <v>19</v>
      </c>
      <c r="C8" s="6" t="s">
        <v>20</v>
      </c>
    </row>
    <row r="9" customFormat="false" ht="15" hidden="false" customHeight="false" outlineLevel="0" collapsed="false">
      <c r="A9" s="10" t="s">
        <v>21</v>
      </c>
      <c r="B9" s="10" t="s">
        <v>22</v>
      </c>
      <c r="C9" s="10" t="s">
        <v>21</v>
      </c>
    </row>
    <row r="10" customFormat="false" ht="15" hidden="false" customHeight="false" outlineLevel="0" collapsed="false">
      <c r="A10" s="10" t="s">
        <v>23</v>
      </c>
      <c r="B10" s="10" t="s">
        <v>24</v>
      </c>
      <c r="C10" s="10" t="s">
        <v>23</v>
      </c>
    </row>
    <row r="11" customFormat="false" ht="15" hidden="false" customHeight="false" outlineLevel="0" collapsed="false">
      <c r="A11" s="10" t="s">
        <v>25</v>
      </c>
      <c r="B11" s="10" t="s">
        <v>26</v>
      </c>
      <c r="C11" s="10" t="s">
        <v>25</v>
      </c>
    </row>
    <row r="12" customFormat="false" ht="15" hidden="false" customHeight="false" outlineLevel="0" collapsed="false">
      <c r="A12" s="10" t="s">
        <v>27</v>
      </c>
      <c r="B12" s="10" t="s">
        <v>28</v>
      </c>
      <c r="C12" s="10" t="s">
        <v>27</v>
      </c>
    </row>
    <row r="13" customFormat="false" ht="15" hidden="false" customHeight="false" outlineLevel="0" collapsed="false">
      <c r="A13" s="10" t="s">
        <v>29</v>
      </c>
      <c r="B13" s="10" t="s">
        <v>30</v>
      </c>
      <c r="C13" s="10" t="s">
        <v>29</v>
      </c>
    </row>
    <row r="14" customFormat="false" ht="15" hidden="false" customHeight="false" outlineLevel="0" collapsed="false">
      <c r="B14" s="10" t="s">
        <v>31</v>
      </c>
      <c r="C14" s="10" t="s">
        <v>22</v>
      </c>
    </row>
    <row r="15" customFormat="false" ht="15" hidden="false" customHeight="false" outlineLevel="0" collapsed="false">
      <c r="B15" s="10" t="s">
        <v>32</v>
      </c>
      <c r="C15" s="10" t="s">
        <v>24</v>
      </c>
    </row>
    <row r="16" customFormat="false" ht="15" hidden="false" customHeight="false" outlineLevel="0" collapsed="false">
      <c r="B16" s="10" t="s">
        <v>33</v>
      </c>
      <c r="C16" s="10" t="s">
        <v>26</v>
      </c>
    </row>
    <row r="17" customFormat="false" ht="15" hidden="false" customHeight="false" outlineLevel="0" collapsed="false">
      <c r="B17" s="10" t="s">
        <v>34</v>
      </c>
      <c r="C17" s="10" t="s">
        <v>28</v>
      </c>
    </row>
    <row r="18" customFormat="false" ht="15" hidden="false" customHeight="false" outlineLevel="0" collapsed="false">
      <c r="C18" s="10" t="s">
        <v>30</v>
      </c>
    </row>
    <row r="19" customFormat="false" ht="15" hidden="false" customHeight="false" outlineLevel="0" collapsed="false">
      <c r="C19" s="10" t="s">
        <v>31</v>
      </c>
    </row>
    <row r="20" customFormat="false" ht="15" hidden="false" customHeight="false" outlineLevel="0" collapsed="false">
      <c r="C20" s="10" t="s">
        <v>32</v>
      </c>
    </row>
    <row r="21" customFormat="false" ht="15" hidden="false" customHeight="false" outlineLevel="0" collapsed="false">
      <c r="C21" s="10" t="s">
        <v>33</v>
      </c>
    </row>
    <row r="22" customFormat="false" ht="15" hidden="false" customHeight="false" outlineLevel="0" collapsed="false">
      <c r="C22" s="10" t="s">
        <v>34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8" min="7" style="0" width="8"/>
  </cols>
  <sheetData>
    <row r="1" customFormat="false" ht="16.15" hidden="false" customHeight="false" outlineLevel="0" collapsed="false">
      <c r="A1" s="1" t="s">
        <v>35</v>
      </c>
      <c r="B1" s="1"/>
      <c r="C1" s="1"/>
      <c r="D1" s="1"/>
      <c r="E1" s="1"/>
      <c r="F1" s="1"/>
      <c r="G1" s="1"/>
      <c r="H1" s="1"/>
    </row>
    <row r="2" customFormat="false" ht="26.85" hidden="false" customHeight="false" outlineLevel="0" collapsed="false">
      <c r="A2" s="11" t="s">
        <v>36</v>
      </c>
      <c r="B2" s="11" t="s">
        <v>37</v>
      </c>
      <c r="C2" s="11" t="s">
        <v>38</v>
      </c>
      <c r="D2" s="11" t="s">
        <v>39</v>
      </c>
      <c r="E2" s="11" t="s">
        <v>40</v>
      </c>
      <c r="F2" s="11" t="s">
        <v>41</v>
      </c>
      <c r="G2" s="11" t="s">
        <v>42</v>
      </c>
      <c r="H2" s="11" t="s">
        <v>43</v>
      </c>
    </row>
    <row r="3" customFormat="false" ht="15" hidden="false" customHeight="false" outlineLevel="0" collapsed="false">
      <c r="A3" s="12"/>
      <c r="B3" s="13"/>
      <c r="C3" s="13"/>
      <c r="D3" s="13"/>
      <c r="E3" s="14"/>
      <c r="F3" s="14"/>
      <c r="G3" s="13" t="n">
        <f aca="false">IFERROR(YEAR(A3),"")</f>
        <v>1899</v>
      </c>
      <c r="H3" s="13" t="n">
        <f aca="false">IFERROR(MONTH(A3),"")</f>
        <v>12</v>
      </c>
    </row>
    <row r="4" customFormat="false" ht="15" hidden="false" customHeight="false" outlineLevel="0" collapsed="false">
      <c r="A4" s="12"/>
      <c r="B4" s="13"/>
      <c r="C4" s="13"/>
      <c r="D4" s="13"/>
      <c r="E4" s="14"/>
      <c r="F4" s="14"/>
      <c r="G4" s="13" t="n">
        <f aca="false">IFERROR(YEAR(A4),"")</f>
        <v>1899</v>
      </c>
      <c r="H4" s="13" t="n">
        <f aca="false">IFERROR(MONTH(A4),"")</f>
        <v>12</v>
      </c>
    </row>
    <row r="5" customFormat="false" ht="15" hidden="false" customHeight="false" outlineLevel="0" collapsed="false">
      <c r="A5" s="12"/>
      <c r="B5" s="13"/>
      <c r="C5" s="13"/>
      <c r="D5" s="13"/>
      <c r="E5" s="14"/>
      <c r="F5" s="14"/>
      <c r="G5" s="13" t="n">
        <f aca="false">IFERROR(YEAR(A5),"")</f>
        <v>1899</v>
      </c>
      <c r="H5" s="13" t="n">
        <f aca="false">IFERROR(MONTH(A5),"")</f>
        <v>12</v>
      </c>
    </row>
    <row r="6" customFormat="false" ht="15" hidden="false" customHeight="false" outlineLevel="0" collapsed="false">
      <c r="A6" s="12"/>
      <c r="B6" s="13"/>
      <c r="C6" s="13"/>
      <c r="D6" s="13"/>
      <c r="E6" s="14"/>
      <c r="F6" s="14"/>
      <c r="G6" s="13" t="n">
        <f aca="false">IFERROR(YEAR(A6),"")</f>
        <v>1899</v>
      </c>
      <c r="H6" s="13" t="n">
        <f aca="false">IFERROR(MONTH(A6),"")</f>
        <v>12</v>
      </c>
    </row>
    <row r="7" customFormat="false" ht="15" hidden="false" customHeight="false" outlineLevel="0" collapsed="false">
      <c r="A7" s="12"/>
      <c r="B7" s="13"/>
      <c r="C7" s="13"/>
      <c r="D7" s="13"/>
      <c r="E7" s="14"/>
      <c r="F7" s="14"/>
      <c r="G7" s="13" t="n">
        <f aca="false">IFERROR(YEAR(A7),"")</f>
        <v>1899</v>
      </c>
      <c r="H7" s="13" t="n">
        <f aca="false">IFERROR(MONTH(A7),"")</f>
        <v>12</v>
      </c>
    </row>
    <row r="8" customFormat="false" ht="15" hidden="false" customHeight="false" outlineLevel="0" collapsed="false">
      <c r="A8" s="12"/>
      <c r="B8" s="13"/>
      <c r="C8" s="13"/>
      <c r="D8" s="13"/>
      <c r="E8" s="14"/>
      <c r="F8" s="14"/>
      <c r="G8" s="13" t="n">
        <f aca="false">IFERROR(YEAR(A8),"")</f>
        <v>1899</v>
      </c>
      <c r="H8" s="13" t="n">
        <f aca="false">IFERROR(MONTH(A8),"")</f>
        <v>12</v>
      </c>
    </row>
    <row r="9" customFormat="false" ht="15" hidden="false" customHeight="false" outlineLevel="0" collapsed="false">
      <c r="A9" s="12"/>
      <c r="B9" s="13"/>
      <c r="C9" s="13"/>
      <c r="D9" s="13"/>
      <c r="E9" s="14"/>
      <c r="F9" s="14"/>
      <c r="G9" s="13" t="n">
        <f aca="false">IFERROR(YEAR(A9),"")</f>
        <v>1899</v>
      </c>
      <c r="H9" s="13" t="n">
        <f aca="false">IFERROR(MONTH(A9),"")</f>
        <v>12</v>
      </c>
    </row>
    <row r="10" customFormat="false" ht="15" hidden="false" customHeight="false" outlineLevel="0" collapsed="false">
      <c r="A10" s="12"/>
      <c r="B10" s="13"/>
      <c r="C10" s="13"/>
      <c r="D10" s="13"/>
      <c r="E10" s="14"/>
      <c r="F10" s="14"/>
      <c r="G10" s="13" t="n">
        <f aca="false">IFERROR(YEAR(A10),"")</f>
        <v>1899</v>
      </c>
      <c r="H10" s="13" t="n">
        <f aca="false">IFERROR(MONTH(A10),"")</f>
        <v>12</v>
      </c>
    </row>
    <row r="11" customFormat="false" ht="15" hidden="false" customHeight="false" outlineLevel="0" collapsed="false">
      <c r="A11" s="12"/>
      <c r="B11" s="13"/>
      <c r="C11" s="13"/>
      <c r="D11" s="13"/>
      <c r="E11" s="14"/>
      <c r="F11" s="14"/>
      <c r="G11" s="13" t="n">
        <f aca="false">IFERROR(YEAR(A11),"")</f>
        <v>1899</v>
      </c>
      <c r="H11" s="13" t="n">
        <f aca="false">IFERROR(MONTH(A11),"")</f>
        <v>12</v>
      </c>
    </row>
    <row r="12" customFormat="false" ht="15" hidden="false" customHeight="false" outlineLevel="0" collapsed="false">
      <c r="A12" s="12"/>
      <c r="B12" s="13"/>
      <c r="C12" s="13"/>
      <c r="D12" s="13"/>
      <c r="E12" s="14"/>
      <c r="F12" s="14"/>
      <c r="G12" s="13" t="n">
        <f aca="false">IFERROR(YEAR(A12),"")</f>
        <v>1899</v>
      </c>
      <c r="H12" s="13" t="n">
        <f aca="false">IFERROR(MONTH(A12),"")</f>
        <v>12</v>
      </c>
    </row>
    <row r="13" customFormat="false" ht="15" hidden="false" customHeight="false" outlineLevel="0" collapsed="false">
      <c r="A13" s="12"/>
      <c r="B13" s="13"/>
      <c r="C13" s="13"/>
      <c r="D13" s="13"/>
      <c r="E13" s="14"/>
      <c r="F13" s="14"/>
      <c r="G13" s="13" t="n">
        <f aca="false">IFERROR(YEAR(A13),"")</f>
        <v>1899</v>
      </c>
      <c r="H13" s="13" t="n">
        <f aca="false">IFERROR(MONTH(A13),"")</f>
        <v>12</v>
      </c>
    </row>
    <row r="14" customFormat="false" ht="15" hidden="false" customHeight="false" outlineLevel="0" collapsed="false">
      <c r="A14" s="12"/>
      <c r="B14" s="13"/>
      <c r="C14" s="13"/>
      <c r="D14" s="13"/>
      <c r="E14" s="14"/>
      <c r="F14" s="14"/>
      <c r="G14" s="13" t="n">
        <f aca="false">IFERROR(YEAR(A14),"")</f>
        <v>1899</v>
      </c>
      <c r="H14" s="13" t="n">
        <f aca="false">IFERROR(MONTH(A14),"")</f>
        <v>12</v>
      </c>
    </row>
    <row r="15" customFormat="false" ht="15" hidden="false" customHeight="false" outlineLevel="0" collapsed="false">
      <c r="A15" s="12"/>
      <c r="B15" s="13"/>
      <c r="C15" s="13"/>
      <c r="D15" s="13"/>
      <c r="E15" s="14"/>
      <c r="F15" s="14"/>
      <c r="G15" s="13" t="n">
        <f aca="false">IFERROR(YEAR(A15),"")</f>
        <v>1899</v>
      </c>
      <c r="H15" s="13" t="n">
        <f aca="false">IFERROR(MONTH(A15),"")</f>
        <v>12</v>
      </c>
    </row>
    <row r="16" customFormat="false" ht="15" hidden="false" customHeight="false" outlineLevel="0" collapsed="false">
      <c r="A16" s="12"/>
      <c r="B16" s="13"/>
      <c r="C16" s="13"/>
      <c r="D16" s="13"/>
      <c r="E16" s="14"/>
      <c r="F16" s="14"/>
      <c r="G16" s="13" t="n">
        <f aca="false">IFERROR(YEAR(A16),"")</f>
        <v>1899</v>
      </c>
      <c r="H16" s="13" t="n">
        <f aca="false">IFERROR(MONTH(A16),"")</f>
        <v>12</v>
      </c>
    </row>
    <row r="17" customFormat="false" ht="15" hidden="false" customHeight="false" outlineLevel="0" collapsed="false">
      <c r="A17" s="12"/>
      <c r="B17" s="13"/>
      <c r="C17" s="13"/>
      <c r="D17" s="13"/>
      <c r="E17" s="14"/>
      <c r="F17" s="14"/>
      <c r="G17" s="13" t="n">
        <f aca="false">IFERROR(YEAR(A17),"")</f>
        <v>1899</v>
      </c>
      <c r="H17" s="13" t="n">
        <f aca="false">IFERROR(MONTH(A17),"")</f>
        <v>12</v>
      </c>
    </row>
    <row r="18" customFormat="false" ht="15" hidden="false" customHeight="false" outlineLevel="0" collapsed="false">
      <c r="A18" s="12"/>
      <c r="B18" s="13"/>
      <c r="C18" s="13"/>
      <c r="D18" s="13"/>
      <c r="E18" s="14"/>
      <c r="F18" s="14"/>
      <c r="G18" s="13" t="n">
        <f aca="false">IFERROR(YEAR(A18),"")</f>
        <v>1899</v>
      </c>
      <c r="H18" s="13" t="n">
        <f aca="false">IFERROR(MONTH(A18),"")</f>
        <v>12</v>
      </c>
    </row>
    <row r="19" customFormat="false" ht="15" hidden="false" customHeight="false" outlineLevel="0" collapsed="false">
      <c r="A19" s="12"/>
      <c r="B19" s="13"/>
      <c r="C19" s="13"/>
      <c r="D19" s="13"/>
      <c r="E19" s="14"/>
      <c r="F19" s="14"/>
      <c r="G19" s="13" t="n">
        <f aca="false">IFERROR(YEAR(A19),"")</f>
        <v>1899</v>
      </c>
      <c r="H19" s="13" t="n">
        <f aca="false">IFERROR(MONTH(A19),"")</f>
        <v>12</v>
      </c>
    </row>
    <row r="20" customFormat="false" ht="15" hidden="false" customHeight="false" outlineLevel="0" collapsed="false">
      <c r="A20" s="12"/>
      <c r="B20" s="13"/>
      <c r="C20" s="13"/>
      <c r="D20" s="13"/>
      <c r="E20" s="14"/>
      <c r="F20" s="14"/>
      <c r="G20" s="13" t="n">
        <f aca="false">IFERROR(YEAR(A20),"")</f>
        <v>1899</v>
      </c>
      <c r="H20" s="13" t="n">
        <f aca="false">IFERROR(MONTH(A20),"")</f>
        <v>12</v>
      </c>
    </row>
    <row r="21" customFormat="false" ht="15" hidden="false" customHeight="false" outlineLevel="0" collapsed="false">
      <c r="A21" s="12"/>
      <c r="B21" s="13"/>
      <c r="C21" s="13"/>
      <c r="D21" s="13"/>
      <c r="E21" s="14"/>
      <c r="F21" s="14"/>
      <c r="G21" s="13" t="n">
        <f aca="false">IFERROR(YEAR(A21),"")</f>
        <v>1899</v>
      </c>
      <c r="H21" s="13" t="n">
        <f aca="false">IFERROR(MONTH(A21),"")</f>
        <v>12</v>
      </c>
    </row>
    <row r="22" customFormat="false" ht="15" hidden="false" customHeight="false" outlineLevel="0" collapsed="false">
      <c r="A22" s="12"/>
      <c r="B22" s="13"/>
      <c r="C22" s="13"/>
      <c r="D22" s="13"/>
      <c r="E22" s="14"/>
      <c r="F22" s="14"/>
      <c r="G22" s="13" t="n">
        <f aca="false">IFERROR(YEAR(A22),"")</f>
        <v>1899</v>
      </c>
      <c r="H22" s="13" t="n">
        <f aca="false">IFERROR(MONTH(A22),"")</f>
        <v>12</v>
      </c>
    </row>
    <row r="23" customFormat="false" ht="15" hidden="false" customHeight="false" outlineLevel="0" collapsed="false">
      <c r="A23" s="12"/>
      <c r="B23" s="13"/>
      <c r="C23" s="13"/>
      <c r="D23" s="13"/>
      <c r="E23" s="14"/>
      <c r="F23" s="14"/>
      <c r="G23" s="13" t="n">
        <f aca="false">IFERROR(YEAR(A23),"")</f>
        <v>1899</v>
      </c>
      <c r="H23" s="13" t="n">
        <f aca="false">IFERROR(MONTH(A23),"")</f>
        <v>12</v>
      </c>
    </row>
    <row r="24" customFormat="false" ht="15" hidden="false" customHeight="false" outlineLevel="0" collapsed="false">
      <c r="A24" s="12"/>
      <c r="B24" s="13"/>
      <c r="C24" s="13"/>
      <c r="D24" s="13"/>
      <c r="E24" s="14"/>
      <c r="F24" s="14"/>
      <c r="G24" s="13" t="n">
        <f aca="false">IFERROR(YEAR(A24),"")</f>
        <v>1899</v>
      </c>
      <c r="H24" s="13" t="n">
        <f aca="false">IFERROR(MONTH(A24),"")</f>
        <v>12</v>
      </c>
    </row>
    <row r="25" customFormat="false" ht="15" hidden="false" customHeight="false" outlineLevel="0" collapsed="false">
      <c r="A25" s="12"/>
      <c r="B25" s="13"/>
      <c r="C25" s="13"/>
      <c r="D25" s="13"/>
      <c r="E25" s="14"/>
      <c r="F25" s="14"/>
      <c r="G25" s="13" t="n">
        <f aca="false">IFERROR(YEAR(A25),"")</f>
        <v>1899</v>
      </c>
      <c r="H25" s="13" t="n">
        <f aca="false">IFERROR(MONTH(A25),"")</f>
        <v>12</v>
      </c>
    </row>
    <row r="26" customFormat="false" ht="15" hidden="false" customHeight="false" outlineLevel="0" collapsed="false">
      <c r="A26" s="12"/>
      <c r="B26" s="13"/>
      <c r="C26" s="13"/>
      <c r="D26" s="13"/>
      <c r="E26" s="14"/>
      <c r="F26" s="14"/>
      <c r="G26" s="13" t="n">
        <f aca="false">IFERROR(YEAR(A26),"")</f>
        <v>1899</v>
      </c>
      <c r="H26" s="13" t="n">
        <f aca="false">IFERROR(MONTH(A26),"")</f>
        <v>12</v>
      </c>
    </row>
    <row r="27" customFormat="false" ht="15" hidden="false" customHeight="false" outlineLevel="0" collapsed="false">
      <c r="A27" s="12"/>
      <c r="B27" s="13"/>
      <c r="C27" s="13"/>
      <c r="D27" s="13"/>
      <c r="E27" s="14"/>
      <c r="F27" s="14"/>
      <c r="G27" s="13" t="n">
        <f aca="false">IFERROR(YEAR(A27),"")</f>
        <v>1899</v>
      </c>
      <c r="H27" s="13" t="n">
        <f aca="false">IFERROR(MONTH(A27),"")</f>
        <v>12</v>
      </c>
    </row>
    <row r="28" customFormat="false" ht="15" hidden="false" customHeight="false" outlineLevel="0" collapsed="false">
      <c r="A28" s="12"/>
      <c r="B28" s="13"/>
      <c r="C28" s="13"/>
      <c r="D28" s="13"/>
      <c r="E28" s="14"/>
      <c r="F28" s="14"/>
      <c r="G28" s="13" t="n">
        <f aca="false">IFERROR(YEAR(A28),"")</f>
        <v>1899</v>
      </c>
      <c r="H28" s="13" t="n">
        <f aca="false">IFERROR(MONTH(A28),"")</f>
        <v>12</v>
      </c>
    </row>
    <row r="29" customFormat="false" ht="15" hidden="false" customHeight="false" outlineLevel="0" collapsed="false">
      <c r="A29" s="12"/>
      <c r="B29" s="13"/>
      <c r="C29" s="13"/>
      <c r="D29" s="13"/>
      <c r="E29" s="14"/>
      <c r="F29" s="14"/>
      <c r="G29" s="13" t="n">
        <f aca="false">IFERROR(YEAR(A29),"")</f>
        <v>1899</v>
      </c>
      <c r="H29" s="13" t="n">
        <f aca="false">IFERROR(MONTH(A29),"")</f>
        <v>12</v>
      </c>
    </row>
    <row r="30" customFormat="false" ht="15" hidden="false" customHeight="false" outlineLevel="0" collapsed="false">
      <c r="A30" s="12"/>
      <c r="B30" s="13"/>
      <c r="C30" s="13"/>
      <c r="D30" s="13"/>
      <c r="E30" s="14"/>
      <c r="F30" s="14"/>
      <c r="G30" s="13" t="n">
        <f aca="false">IFERROR(YEAR(A30),"")</f>
        <v>1899</v>
      </c>
      <c r="H30" s="13" t="n">
        <f aca="false">IFERROR(MONTH(A30),"")</f>
        <v>12</v>
      </c>
    </row>
    <row r="31" customFormat="false" ht="15" hidden="false" customHeight="false" outlineLevel="0" collapsed="false">
      <c r="A31" s="12"/>
      <c r="B31" s="13"/>
      <c r="C31" s="13"/>
      <c r="D31" s="13"/>
      <c r="E31" s="14"/>
      <c r="F31" s="14"/>
      <c r="G31" s="13" t="n">
        <f aca="false">IFERROR(YEAR(A31),"")</f>
        <v>1899</v>
      </c>
      <c r="H31" s="13" t="n">
        <f aca="false">IFERROR(MONTH(A31),"")</f>
        <v>12</v>
      </c>
    </row>
    <row r="32" customFormat="false" ht="15" hidden="false" customHeight="false" outlineLevel="0" collapsed="false">
      <c r="A32" s="12"/>
      <c r="B32" s="13"/>
      <c r="C32" s="13"/>
      <c r="D32" s="13"/>
      <c r="E32" s="14"/>
      <c r="F32" s="14"/>
      <c r="G32" s="13" t="n">
        <f aca="false">IFERROR(YEAR(A32),"")</f>
        <v>1899</v>
      </c>
      <c r="H32" s="13" t="n">
        <f aca="false">IFERROR(MONTH(A32),"")</f>
        <v>12</v>
      </c>
    </row>
    <row r="33" customFormat="false" ht="15" hidden="false" customHeight="false" outlineLevel="0" collapsed="false">
      <c r="A33" s="12"/>
      <c r="B33" s="13"/>
      <c r="C33" s="13"/>
      <c r="D33" s="13"/>
      <c r="E33" s="14"/>
      <c r="F33" s="14"/>
      <c r="G33" s="13" t="n">
        <f aca="false">IFERROR(YEAR(A33),"")</f>
        <v>1899</v>
      </c>
      <c r="H33" s="13" t="n">
        <f aca="false">IFERROR(MONTH(A33),"")</f>
        <v>12</v>
      </c>
    </row>
    <row r="34" customFormat="false" ht="15" hidden="false" customHeight="false" outlineLevel="0" collapsed="false">
      <c r="A34" s="12"/>
      <c r="B34" s="13"/>
      <c r="C34" s="13"/>
      <c r="D34" s="13"/>
      <c r="E34" s="14"/>
      <c r="F34" s="14"/>
      <c r="G34" s="13" t="n">
        <f aca="false">IFERROR(YEAR(A34),"")</f>
        <v>1899</v>
      </c>
      <c r="H34" s="13" t="n">
        <f aca="false">IFERROR(MONTH(A34),"")</f>
        <v>12</v>
      </c>
    </row>
    <row r="35" customFormat="false" ht="15" hidden="false" customHeight="false" outlineLevel="0" collapsed="false">
      <c r="A35" s="12"/>
      <c r="B35" s="13"/>
      <c r="C35" s="13"/>
      <c r="D35" s="13"/>
      <c r="E35" s="14"/>
      <c r="F35" s="14"/>
      <c r="G35" s="13" t="n">
        <f aca="false">IFERROR(YEAR(A35),"")</f>
        <v>1899</v>
      </c>
      <c r="H35" s="13" t="n">
        <f aca="false">IFERROR(MONTH(A35),"")</f>
        <v>12</v>
      </c>
    </row>
    <row r="36" customFormat="false" ht="15" hidden="false" customHeight="false" outlineLevel="0" collapsed="false">
      <c r="A36" s="12"/>
      <c r="B36" s="13"/>
      <c r="C36" s="13"/>
      <c r="D36" s="13"/>
      <c r="E36" s="14"/>
      <c r="F36" s="14"/>
      <c r="G36" s="13" t="n">
        <f aca="false">IFERROR(YEAR(A36),"")</f>
        <v>1899</v>
      </c>
      <c r="H36" s="13" t="n">
        <f aca="false">IFERROR(MONTH(A36),"")</f>
        <v>12</v>
      </c>
    </row>
    <row r="37" customFormat="false" ht="15" hidden="false" customHeight="false" outlineLevel="0" collapsed="false">
      <c r="A37" s="12"/>
      <c r="B37" s="13"/>
      <c r="C37" s="13"/>
      <c r="D37" s="13"/>
      <c r="E37" s="14"/>
      <c r="F37" s="14"/>
      <c r="G37" s="13" t="n">
        <f aca="false">IFERROR(YEAR(A37),"")</f>
        <v>1899</v>
      </c>
      <c r="H37" s="13" t="n">
        <f aca="false">IFERROR(MONTH(A37),"")</f>
        <v>12</v>
      </c>
    </row>
    <row r="38" customFormat="false" ht="15" hidden="false" customHeight="false" outlineLevel="0" collapsed="false">
      <c r="A38" s="12"/>
      <c r="B38" s="13"/>
      <c r="C38" s="13"/>
      <c r="D38" s="13"/>
      <c r="E38" s="14"/>
      <c r="F38" s="14"/>
      <c r="G38" s="13" t="n">
        <f aca="false">IFERROR(YEAR(A38),"")</f>
        <v>1899</v>
      </c>
      <c r="H38" s="13" t="n">
        <f aca="false">IFERROR(MONTH(A38),"")</f>
        <v>12</v>
      </c>
    </row>
    <row r="39" customFormat="false" ht="15" hidden="false" customHeight="false" outlineLevel="0" collapsed="false">
      <c r="A39" s="12"/>
      <c r="B39" s="13"/>
      <c r="C39" s="13"/>
      <c r="D39" s="13"/>
      <c r="E39" s="14"/>
      <c r="F39" s="14"/>
      <c r="G39" s="13" t="n">
        <f aca="false">IFERROR(YEAR(A39),"")</f>
        <v>1899</v>
      </c>
      <c r="H39" s="13" t="n">
        <f aca="false">IFERROR(MONTH(A39),"")</f>
        <v>12</v>
      </c>
    </row>
    <row r="40" customFormat="false" ht="15" hidden="false" customHeight="false" outlineLevel="0" collapsed="false">
      <c r="A40" s="12"/>
      <c r="B40" s="13"/>
      <c r="C40" s="13"/>
      <c r="D40" s="13"/>
      <c r="E40" s="14"/>
      <c r="F40" s="14"/>
      <c r="G40" s="13" t="n">
        <f aca="false">IFERROR(YEAR(A40),"")</f>
        <v>1899</v>
      </c>
      <c r="H40" s="13" t="n">
        <f aca="false">IFERROR(MONTH(A40),"")</f>
        <v>12</v>
      </c>
    </row>
    <row r="41" customFormat="false" ht="15" hidden="false" customHeight="false" outlineLevel="0" collapsed="false">
      <c r="A41" s="12"/>
      <c r="B41" s="13"/>
      <c r="C41" s="13"/>
      <c r="D41" s="13"/>
      <c r="E41" s="14"/>
      <c r="F41" s="14"/>
      <c r="G41" s="13" t="n">
        <f aca="false">IFERROR(YEAR(A41),"")</f>
        <v>1899</v>
      </c>
      <c r="H41" s="13" t="n">
        <f aca="false">IFERROR(MONTH(A41),"")</f>
        <v>12</v>
      </c>
    </row>
    <row r="42" customFormat="false" ht="15" hidden="false" customHeight="false" outlineLevel="0" collapsed="false">
      <c r="A42" s="12"/>
      <c r="B42" s="13"/>
      <c r="C42" s="13"/>
      <c r="D42" s="13"/>
      <c r="E42" s="14"/>
      <c r="F42" s="14"/>
      <c r="G42" s="13" t="n">
        <f aca="false">IFERROR(YEAR(A42),"")</f>
        <v>1899</v>
      </c>
      <c r="H42" s="13" t="n">
        <f aca="false">IFERROR(MONTH(A42),"")</f>
        <v>12</v>
      </c>
    </row>
    <row r="43" customFormat="false" ht="15" hidden="false" customHeight="false" outlineLevel="0" collapsed="false">
      <c r="A43" s="12"/>
      <c r="B43" s="13"/>
      <c r="C43" s="13"/>
      <c r="D43" s="13"/>
      <c r="E43" s="14"/>
      <c r="F43" s="14"/>
      <c r="G43" s="13" t="n">
        <f aca="false">IFERROR(YEAR(A43),"")</f>
        <v>1899</v>
      </c>
      <c r="H43" s="13" t="n">
        <f aca="false">IFERROR(MONTH(A43),"")</f>
        <v>12</v>
      </c>
    </row>
    <row r="44" customFormat="false" ht="15" hidden="false" customHeight="false" outlineLevel="0" collapsed="false">
      <c r="A44" s="12"/>
      <c r="B44" s="13"/>
      <c r="C44" s="13"/>
      <c r="D44" s="13"/>
      <c r="E44" s="14"/>
      <c r="F44" s="14"/>
      <c r="G44" s="13" t="n">
        <f aca="false">IFERROR(YEAR(A44),"")</f>
        <v>1899</v>
      </c>
      <c r="H44" s="13" t="n">
        <f aca="false">IFERROR(MONTH(A44),"")</f>
        <v>12</v>
      </c>
    </row>
    <row r="45" customFormat="false" ht="15" hidden="false" customHeight="false" outlineLevel="0" collapsed="false">
      <c r="A45" s="12"/>
      <c r="B45" s="13"/>
      <c r="C45" s="13"/>
      <c r="D45" s="13"/>
      <c r="E45" s="14"/>
      <c r="F45" s="14"/>
      <c r="G45" s="13" t="n">
        <f aca="false">IFERROR(YEAR(A45),"")</f>
        <v>1899</v>
      </c>
      <c r="H45" s="13" t="n">
        <f aca="false">IFERROR(MONTH(A45),"")</f>
        <v>12</v>
      </c>
    </row>
    <row r="46" customFormat="false" ht="15" hidden="false" customHeight="false" outlineLevel="0" collapsed="false">
      <c r="A46" s="12"/>
      <c r="B46" s="13"/>
      <c r="C46" s="13"/>
      <c r="D46" s="13"/>
      <c r="E46" s="14"/>
      <c r="F46" s="14"/>
      <c r="G46" s="13" t="n">
        <f aca="false">IFERROR(YEAR(A46),"")</f>
        <v>1899</v>
      </c>
      <c r="H46" s="13" t="n">
        <f aca="false">IFERROR(MONTH(A46),"")</f>
        <v>12</v>
      </c>
    </row>
    <row r="47" customFormat="false" ht="15" hidden="false" customHeight="false" outlineLevel="0" collapsed="false">
      <c r="A47" s="12"/>
      <c r="B47" s="13"/>
      <c r="C47" s="13"/>
      <c r="D47" s="13"/>
      <c r="E47" s="14"/>
      <c r="F47" s="14"/>
      <c r="G47" s="13" t="n">
        <f aca="false">IFERROR(YEAR(A47),"")</f>
        <v>1899</v>
      </c>
      <c r="H47" s="13" t="n">
        <f aca="false">IFERROR(MONTH(A47),"")</f>
        <v>12</v>
      </c>
    </row>
    <row r="48" customFormat="false" ht="15" hidden="false" customHeight="false" outlineLevel="0" collapsed="false">
      <c r="A48" s="12"/>
      <c r="B48" s="13"/>
      <c r="C48" s="13"/>
      <c r="D48" s="13"/>
      <c r="E48" s="14"/>
      <c r="F48" s="14"/>
      <c r="G48" s="13" t="n">
        <f aca="false">IFERROR(YEAR(A48),"")</f>
        <v>1899</v>
      </c>
      <c r="H48" s="13" t="n">
        <f aca="false">IFERROR(MONTH(A48),"")</f>
        <v>12</v>
      </c>
    </row>
    <row r="49" customFormat="false" ht="15" hidden="false" customHeight="false" outlineLevel="0" collapsed="false">
      <c r="A49" s="12"/>
      <c r="B49" s="13"/>
      <c r="C49" s="13"/>
      <c r="D49" s="13"/>
      <c r="E49" s="14"/>
      <c r="F49" s="14"/>
      <c r="G49" s="13" t="n">
        <f aca="false">IFERROR(YEAR(A49),"")</f>
        <v>1899</v>
      </c>
      <c r="H49" s="13" t="n">
        <f aca="false">IFERROR(MONTH(A49),"")</f>
        <v>12</v>
      </c>
    </row>
    <row r="50" customFormat="false" ht="15" hidden="false" customHeight="false" outlineLevel="0" collapsed="false">
      <c r="A50" s="12"/>
      <c r="B50" s="13"/>
      <c r="C50" s="13"/>
      <c r="D50" s="13"/>
      <c r="E50" s="14"/>
      <c r="F50" s="14"/>
      <c r="G50" s="13" t="n">
        <f aca="false">IFERROR(YEAR(A50),"")</f>
        <v>1899</v>
      </c>
      <c r="H50" s="13" t="n">
        <f aca="false">IFERROR(MONTH(A50),"")</f>
        <v>12</v>
      </c>
    </row>
    <row r="51" customFormat="false" ht="15" hidden="false" customHeight="false" outlineLevel="0" collapsed="false">
      <c r="A51" s="12"/>
      <c r="B51" s="13"/>
      <c r="C51" s="13"/>
      <c r="D51" s="13"/>
      <c r="E51" s="14"/>
      <c r="F51" s="14"/>
      <c r="G51" s="13" t="n">
        <f aca="false">IFERROR(YEAR(A51),"")</f>
        <v>1899</v>
      </c>
      <c r="H51" s="13" t="n">
        <f aca="false">IFERROR(MONTH(A51),"")</f>
        <v>12</v>
      </c>
    </row>
    <row r="52" customFormat="false" ht="15" hidden="false" customHeight="false" outlineLevel="0" collapsed="false">
      <c r="A52" s="12"/>
      <c r="B52" s="13"/>
      <c r="C52" s="13"/>
      <c r="D52" s="13"/>
      <c r="E52" s="14"/>
      <c r="F52" s="14"/>
      <c r="G52" s="13" t="n">
        <f aca="false">IFERROR(YEAR(A52),"")</f>
        <v>1899</v>
      </c>
      <c r="H52" s="13" t="n">
        <f aca="false">IFERROR(MONTH(A52),"")</f>
        <v>12</v>
      </c>
    </row>
    <row r="53" customFormat="false" ht="15" hidden="false" customHeight="false" outlineLevel="0" collapsed="false">
      <c r="A53" s="12"/>
      <c r="B53" s="13"/>
      <c r="C53" s="13"/>
      <c r="D53" s="13"/>
      <c r="E53" s="14"/>
      <c r="F53" s="14"/>
      <c r="G53" s="13" t="n">
        <f aca="false">IFERROR(YEAR(A53),"")</f>
        <v>1899</v>
      </c>
      <c r="H53" s="13" t="n">
        <f aca="false">IFERROR(MONTH(A53),"")</f>
        <v>12</v>
      </c>
    </row>
    <row r="54" customFormat="false" ht="15" hidden="false" customHeight="false" outlineLevel="0" collapsed="false">
      <c r="A54" s="12"/>
      <c r="B54" s="13"/>
      <c r="C54" s="13"/>
      <c r="D54" s="13"/>
      <c r="E54" s="14"/>
      <c r="F54" s="14"/>
      <c r="G54" s="13" t="n">
        <f aca="false">IFERROR(YEAR(A54),"")</f>
        <v>1899</v>
      </c>
      <c r="H54" s="13" t="n">
        <f aca="false">IFERROR(MONTH(A54),"")</f>
        <v>12</v>
      </c>
    </row>
    <row r="55" customFormat="false" ht="15" hidden="false" customHeight="false" outlineLevel="0" collapsed="false">
      <c r="A55" s="12"/>
      <c r="B55" s="13"/>
      <c r="C55" s="13"/>
      <c r="D55" s="13"/>
      <c r="E55" s="14"/>
      <c r="F55" s="14"/>
      <c r="G55" s="13" t="n">
        <f aca="false">IFERROR(YEAR(A55),"")</f>
        <v>1899</v>
      </c>
      <c r="H55" s="13" t="n">
        <f aca="false">IFERROR(MONTH(A55),"")</f>
        <v>12</v>
      </c>
    </row>
    <row r="56" customFormat="false" ht="15" hidden="false" customHeight="false" outlineLevel="0" collapsed="false">
      <c r="A56" s="12"/>
      <c r="B56" s="13"/>
      <c r="C56" s="13"/>
      <c r="D56" s="13"/>
      <c r="E56" s="14"/>
      <c r="F56" s="14"/>
      <c r="G56" s="13" t="n">
        <f aca="false">IFERROR(YEAR(A56),"")</f>
        <v>1899</v>
      </c>
      <c r="H56" s="13" t="n">
        <f aca="false">IFERROR(MONTH(A56),"")</f>
        <v>12</v>
      </c>
    </row>
    <row r="57" customFormat="false" ht="15" hidden="false" customHeight="false" outlineLevel="0" collapsed="false">
      <c r="A57" s="12"/>
      <c r="B57" s="13"/>
      <c r="C57" s="13"/>
      <c r="D57" s="13"/>
      <c r="E57" s="14"/>
      <c r="F57" s="14"/>
      <c r="G57" s="13" t="n">
        <f aca="false">IFERROR(YEAR(A57),"")</f>
        <v>1899</v>
      </c>
      <c r="H57" s="13" t="n">
        <f aca="false">IFERROR(MONTH(A57),"")</f>
        <v>12</v>
      </c>
    </row>
    <row r="58" customFormat="false" ht="15" hidden="false" customHeight="false" outlineLevel="0" collapsed="false">
      <c r="A58" s="12"/>
      <c r="B58" s="13"/>
      <c r="C58" s="13"/>
      <c r="D58" s="13"/>
      <c r="E58" s="14"/>
      <c r="F58" s="14"/>
      <c r="G58" s="13" t="n">
        <f aca="false">IFERROR(YEAR(A58),"")</f>
        <v>1899</v>
      </c>
      <c r="H58" s="13" t="n">
        <f aca="false">IFERROR(MONTH(A58),"")</f>
        <v>12</v>
      </c>
    </row>
    <row r="59" customFormat="false" ht="15" hidden="false" customHeight="false" outlineLevel="0" collapsed="false">
      <c r="A59" s="12"/>
      <c r="B59" s="13"/>
      <c r="C59" s="13"/>
      <c r="D59" s="13"/>
      <c r="E59" s="14"/>
      <c r="F59" s="14"/>
      <c r="G59" s="13" t="n">
        <f aca="false">IFERROR(YEAR(A59),"")</f>
        <v>1899</v>
      </c>
      <c r="H59" s="13" t="n">
        <f aca="false">IFERROR(MONTH(A59),"")</f>
        <v>12</v>
      </c>
    </row>
    <row r="60" customFormat="false" ht="15" hidden="false" customHeight="false" outlineLevel="0" collapsed="false">
      <c r="A60" s="12"/>
      <c r="B60" s="13"/>
      <c r="C60" s="13"/>
      <c r="D60" s="13"/>
      <c r="E60" s="14"/>
      <c r="F60" s="14"/>
      <c r="G60" s="13" t="n">
        <f aca="false">IFERROR(YEAR(A60),"")</f>
        <v>1899</v>
      </c>
      <c r="H60" s="13" t="n">
        <f aca="false">IFERROR(MONTH(A60),"")</f>
        <v>12</v>
      </c>
    </row>
    <row r="61" customFormat="false" ht="15" hidden="false" customHeight="false" outlineLevel="0" collapsed="false">
      <c r="A61" s="12"/>
      <c r="B61" s="13"/>
      <c r="C61" s="13"/>
      <c r="D61" s="13"/>
      <c r="E61" s="14"/>
      <c r="F61" s="14"/>
      <c r="G61" s="13" t="n">
        <f aca="false">IFERROR(YEAR(A61),"")</f>
        <v>1899</v>
      </c>
      <c r="H61" s="13" t="n">
        <f aca="false">IFERROR(MONTH(A61),"")</f>
        <v>12</v>
      </c>
    </row>
    <row r="62" customFormat="false" ht="15" hidden="false" customHeight="false" outlineLevel="0" collapsed="false">
      <c r="A62" s="12"/>
      <c r="B62" s="13"/>
      <c r="C62" s="13"/>
      <c r="D62" s="13"/>
      <c r="E62" s="14"/>
      <c r="F62" s="14"/>
      <c r="G62" s="13" t="n">
        <f aca="false">IFERROR(YEAR(A62),"")</f>
        <v>1899</v>
      </c>
      <c r="H62" s="13" t="n">
        <f aca="false">IFERROR(MONTH(A62),"")</f>
        <v>12</v>
      </c>
    </row>
    <row r="63" customFormat="false" ht="15" hidden="false" customHeight="false" outlineLevel="0" collapsed="false">
      <c r="A63" s="12"/>
      <c r="B63" s="13"/>
      <c r="C63" s="13"/>
      <c r="D63" s="13"/>
      <c r="E63" s="14"/>
      <c r="F63" s="14"/>
      <c r="G63" s="13" t="n">
        <f aca="false">IFERROR(YEAR(A63),"")</f>
        <v>1899</v>
      </c>
      <c r="H63" s="13" t="n">
        <f aca="false">IFERROR(MONTH(A63),"")</f>
        <v>12</v>
      </c>
    </row>
    <row r="64" customFormat="false" ht="15" hidden="false" customHeight="false" outlineLevel="0" collapsed="false">
      <c r="A64" s="12"/>
      <c r="B64" s="13"/>
      <c r="C64" s="13"/>
      <c r="D64" s="13"/>
      <c r="E64" s="14"/>
      <c r="F64" s="14"/>
      <c r="G64" s="13" t="n">
        <f aca="false">IFERROR(YEAR(A64),"")</f>
        <v>1899</v>
      </c>
      <c r="H64" s="13" t="n">
        <f aca="false">IFERROR(MONTH(A64),"")</f>
        <v>12</v>
      </c>
    </row>
    <row r="65" customFormat="false" ht="15" hidden="false" customHeight="false" outlineLevel="0" collapsed="false">
      <c r="A65" s="12"/>
      <c r="B65" s="13"/>
      <c r="C65" s="13"/>
      <c r="D65" s="13"/>
      <c r="E65" s="14"/>
      <c r="F65" s="14"/>
      <c r="G65" s="13" t="n">
        <f aca="false">IFERROR(YEAR(A65),"")</f>
        <v>1899</v>
      </c>
      <c r="H65" s="13" t="n">
        <f aca="false">IFERROR(MONTH(A65),"")</f>
        <v>12</v>
      </c>
    </row>
    <row r="66" customFormat="false" ht="15" hidden="false" customHeight="false" outlineLevel="0" collapsed="false">
      <c r="A66" s="12"/>
      <c r="B66" s="13"/>
      <c r="C66" s="13"/>
      <c r="D66" s="13"/>
      <c r="E66" s="14"/>
      <c r="F66" s="14"/>
      <c r="G66" s="13" t="n">
        <f aca="false">IFERROR(YEAR(A66),"")</f>
        <v>1899</v>
      </c>
      <c r="H66" s="13" t="n">
        <f aca="false">IFERROR(MONTH(A66),"")</f>
        <v>12</v>
      </c>
    </row>
    <row r="67" customFormat="false" ht="15" hidden="false" customHeight="false" outlineLevel="0" collapsed="false">
      <c r="A67" s="12"/>
      <c r="B67" s="13"/>
      <c r="C67" s="13"/>
      <c r="D67" s="13"/>
      <c r="E67" s="14"/>
      <c r="F67" s="14"/>
      <c r="G67" s="13" t="n">
        <f aca="false">IFERROR(YEAR(A67),"")</f>
        <v>1899</v>
      </c>
      <c r="H67" s="13" t="n">
        <f aca="false">IFERROR(MONTH(A67),"")</f>
        <v>12</v>
      </c>
    </row>
    <row r="68" customFormat="false" ht="15" hidden="false" customHeight="false" outlineLevel="0" collapsed="false">
      <c r="A68" s="12"/>
      <c r="B68" s="13"/>
      <c r="C68" s="13"/>
      <c r="D68" s="13"/>
      <c r="E68" s="14"/>
      <c r="F68" s="14"/>
      <c r="G68" s="13" t="n">
        <f aca="false">IFERROR(YEAR(A68),"")</f>
        <v>1899</v>
      </c>
      <c r="H68" s="13" t="n">
        <f aca="false">IFERROR(MONTH(A68),"")</f>
        <v>12</v>
      </c>
    </row>
    <row r="69" customFormat="false" ht="15" hidden="false" customHeight="false" outlineLevel="0" collapsed="false">
      <c r="A69" s="12"/>
      <c r="B69" s="13"/>
      <c r="C69" s="13"/>
      <c r="D69" s="13"/>
      <c r="E69" s="14"/>
      <c r="F69" s="14"/>
      <c r="G69" s="13" t="n">
        <f aca="false">IFERROR(YEAR(A69),"")</f>
        <v>1899</v>
      </c>
      <c r="H69" s="13" t="n">
        <f aca="false">IFERROR(MONTH(A69),"")</f>
        <v>12</v>
      </c>
    </row>
    <row r="70" customFormat="false" ht="15" hidden="false" customHeight="false" outlineLevel="0" collapsed="false">
      <c r="A70" s="12"/>
      <c r="B70" s="13"/>
      <c r="C70" s="13"/>
      <c r="D70" s="13"/>
      <c r="E70" s="14"/>
      <c r="F70" s="14"/>
      <c r="G70" s="13" t="n">
        <f aca="false">IFERROR(YEAR(A70),"")</f>
        <v>1899</v>
      </c>
      <c r="H70" s="13" t="n">
        <f aca="false">IFERROR(MONTH(A70),"")</f>
        <v>12</v>
      </c>
    </row>
    <row r="71" customFormat="false" ht="15" hidden="false" customHeight="false" outlineLevel="0" collapsed="false">
      <c r="A71" s="12"/>
      <c r="B71" s="13"/>
      <c r="C71" s="13"/>
      <c r="D71" s="13"/>
      <c r="E71" s="14"/>
      <c r="F71" s="14"/>
      <c r="G71" s="13" t="n">
        <f aca="false">IFERROR(YEAR(A71),"")</f>
        <v>1899</v>
      </c>
      <c r="H71" s="13" t="n">
        <f aca="false">IFERROR(MONTH(A71),"")</f>
        <v>12</v>
      </c>
    </row>
    <row r="72" customFormat="false" ht="15" hidden="false" customHeight="false" outlineLevel="0" collapsed="false">
      <c r="A72" s="12"/>
      <c r="B72" s="13"/>
      <c r="C72" s="13"/>
      <c r="D72" s="13"/>
      <c r="E72" s="14"/>
      <c r="F72" s="14"/>
      <c r="G72" s="13" t="n">
        <f aca="false">IFERROR(YEAR(A72),"")</f>
        <v>1899</v>
      </c>
      <c r="H72" s="13" t="n">
        <f aca="false">IFERROR(MONTH(A72),"")</f>
        <v>12</v>
      </c>
    </row>
    <row r="73" customFormat="false" ht="15" hidden="false" customHeight="false" outlineLevel="0" collapsed="false">
      <c r="A73" s="12"/>
      <c r="B73" s="13"/>
      <c r="C73" s="13"/>
      <c r="D73" s="13"/>
      <c r="E73" s="14"/>
      <c r="F73" s="14"/>
      <c r="G73" s="13" t="n">
        <f aca="false">IFERROR(YEAR(A73),"")</f>
        <v>1899</v>
      </c>
      <c r="H73" s="13" t="n">
        <f aca="false">IFERROR(MONTH(A73),"")</f>
        <v>12</v>
      </c>
    </row>
    <row r="74" customFormat="false" ht="15" hidden="false" customHeight="false" outlineLevel="0" collapsed="false">
      <c r="A74" s="12"/>
      <c r="B74" s="13"/>
      <c r="C74" s="13"/>
      <c r="D74" s="13"/>
      <c r="E74" s="14"/>
      <c r="F74" s="14"/>
      <c r="G74" s="13" t="n">
        <f aca="false">IFERROR(YEAR(A74),"")</f>
        <v>1899</v>
      </c>
      <c r="H74" s="13" t="n">
        <f aca="false">IFERROR(MONTH(A74),"")</f>
        <v>12</v>
      </c>
    </row>
    <row r="75" customFormat="false" ht="15" hidden="false" customHeight="false" outlineLevel="0" collapsed="false">
      <c r="A75" s="12"/>
      <c r="B75" s="13"/>
      <c r="C75" s="13"/>
      <c r="D75" s="13"/>
      <c r="E75" s="14"/>
      <c r="F75" s="14"/>
      <c r="G75" s="13" t="n">
        <f aca="false">IFERROR(YEAR(A75),"")</f>
        <v>1899</v>
      </c>
      <c r="H75" s="13" t="n">
        <f aca="false">IFERROR(MONTH(A75),"")</f>
        <v>12</v>
      </c>
    </row>
    <row r="76" customFormat="false" ht="15" hidden="false" customHeight="false" outlineLevel="0" collapsed="false">
      <c r="A76" s="12"/>
      <c r="B76" s="13"/>
      <c r="C76" s="13"/>
      <c r="D76" s="13"/>
      <c r="E76" s="14"/>
      <c r="F76" s="14"/>
      <c r="G76" s="13" t="n">
        <f aca="false">IFERROR(YEAR(A76),"")</f>
        <v>1899</v>
      </c>
      <c r="H76" s="13" t="n">
        <f aca="false">IFERROR(MONTH(A76),"")</f>
        <v>12</v>
      </c>
    </row>
    <row r="77" customFormat="false" ht="15" hidden="false" customHeight="false" outlineLevel="0" collapsed="false">
      <c r="A77" s="12"/>
      <c r="B77" s="13"/>
      <c r="C77" s="13"/>
      <c r="D77" s="13"/>
      <c r="E77" s="14"/>
      <c r="F77" s="14"/>
      <c r="G77" s="13" t="n">
        <f aca="false">IFERROR(YEAR(A77),"")</f>
        <v>1899</v>
      </c>
      <c r="H77" s="13" t="n">
        <f aca="false">IFERROR(MONTH(A77),"")</f>
        <v>12</v>
      </c>
    </row>
    <row r="78" customFormat="false" ht="15" hidden="false" customHeight="false" outlineLevel="0" collapsed="false">
      <c r="A78" s="12"/>
      <c r="B78" s="13"/>
      <c r="C78" s="13"/>
      <c r="D78" s="13"/>
      <c r="E78" s="14"/>
      <c r="F78" s="14"/>
      <c r="G78" s="13" t="n">
        <f aca="false">IFERROR(YEAR(A78),"")</f>
        <v>1899</v>
      </c>
      <c r="H78" s="13" t="n">
        <f aca="false">IFERROR(MONTH(A78),"")</f>
        <v>12</v>
      </c>
    </row>
    <row r="79" customFormat="false" ht="15" hidden="false" customHeight="false" outlineLevel="0" collapsed="false">
      <c r="A79" s="12"/>
      <c r="B79" s="13"/>
      <c r="C79" s="13"/>
      <c r="D79" s="13"/>
      <c r="E79" s="14"/>
      <c r="F79" s="14"/>
      <c r="G79" s="13" t="n">
        <f aca="false">IFERROR(YEAR(A79),"")</f>
        <v>1899</v>
      </c>
      <c r="H79" s="13" t="n">
        <f aca="false">IFERROR(MONTH(A79),"")</f>
        <v>12</v>
      </c>
    </row>
    <row r="80" customFormat="false" ht="15" hidden="false" customHeight="false" outlineLevel="0" collapsed="false">
      <c r="A80" s="12"/>
      <c r="B80" s="13"/>
      <c r="C80" s="13"/>
      <c r="D80" s="13"/>
      <c r="E80" s="14"/>
      <c r="F80" s="14"/>
      <c r="G80" s="13" t="n">
        <f aca="false">IFERROR(YEAR(A80),"")</f>
        <v>1899</v>
      </c>
      <c r="H80" s="13" t="n">
        <f aca="false">IFERROR(MONTH(A80),"")</f>
        <v>12</v>
      </c>
    </row>
    <row r="81" customFormat="false" ht="15" hidden="false" customHeight="false" outlineLevel="0" collapsed="false">
      <c r="A81" s="12"/>
      <c r="B81" s="13"/>
      <c r="C81" s="13"/>
      <c r="D81" s="13"/>
      <c r="E81" s="14"/>
      <c r="F81" s="14"/>
      <c r="G81" s="13" t="n">
        <f aca="false">IFERROR(YEAR(A81),"")</f>
        <v>1899</v>
      </c>
      <c r="H81" s="13" t="n">
        <f aca="false">IFERROR(MONTH(A81),"")</f>
        <v>12</v>
      </c>
    </row>
    <row r="82" customFormat="false" ht="15" hidden="false" customHeight="false" outlineLevel="0" collapsed="false">
      <c r="A82" s="12"/>
      <c r="B82" s="13"/>
      <c r="C82" s="13"/>
      <c r="D82" s="13"/>
      <c r="E82" s="14"/>
      <c r="F82" s="14"/>
      <c r="G82" s="13" t="n">
        <f aca="false">IFERROR(YEAR(A82),"")</f>
        <v>1899</v>
      </c>
      <c r="H82" s="13" t="n">
        <f aca="false">IFERROR(MONTH(A82),"")</f>
        <v>12</v>
      </c>
    </row>
    <row r="83" customFormat="false" ht="15" hidden="false" customHeight="false" outlineLevel="0" collapsed="false">
      <c r="A83" s="12"/>
      <c r="B83" s="13"/>
      <c r="C83" s="13"/>
      <c r="D83" s="13"/>
      <c r="E83" s="14"/>
      <c r="F83" s="14"/>
      <c r="G83" s="13" t="n">
        <f aca="false">IFERROR(YEAR(A83),"")</f>
        <v>1899</v>
      </c>
      <c r="H83" s="13" t="n">
        <f aca="false">IFERROR(MONTH(A83),"")</f>
        <v>12</v>
      </c>
    </row>
    <row r="84" customFormat="false" ht="15" hidden="false" customHeight="false" outlineLevel="0" collapsed="false">
      <c r="A84" s="12"/>
      <c r="B84" s="13"/>
      <c r="C84" s="13"/>
      <c r="D84" s="13"/>
      <c r="E84" s="14"/>
      <c r="F84" s="14"/>
      <c r="G84" s="13" t="n">
        <f aca="false">IFERROR(YEAR(A84),"")</f>
        <v>1899</v>
      </c>
      <c r="H84" s="13" t="n">
        <f aca="false">IFERROR(MONTH(A84),"")</f>
        <v>12</v>
      </c>
    </row>
    <row r="85" customFormat="false" ht="15" hidden="false" customHeight="false" outlineLevel="0" collapsed="false">
      <c r="A85" s="12"/>
      <c r="B85" s="13"/>
      <c r="C85" s="13"/>
      <c r="D85" s="13"/>
      <c r="E85" s="14"/>
      <c r="F85" s="14"/>
      <c r="G85" s="13" t="n">
        <f aca="false">IFERROR(YEAR(A85),"")</f>
        <v>1899</v>
      </c>
      <c r="H85" s="13" t="n">
        <f aca="false">IFERROR(MONTH(A85),"")</f>
        <v>12</v>
      </c>
    </row>
    <row r="86" customFormat="false" ht="15" hidden="false" customHeight="false" outlineLevel="0" collapsed="false">
      <c r="A86" s="12"/>
      <c r="B86" s="13"/>
      <c r="C86" s="13"/>
      <c r="D86" s="13"/>
      <c r="E86" s="14"/>
      <c r="F86" s="14"/>
      <c r="G86" s="13" t="n">
        <f aca="false">IFERROR(YEAR(A86),"")</f>
        <v>1899</v>
      </c>
      <c r="H86" s="13" t="n">
        <f aca="false">IFERROR(MONTH(A86),"")</f>
        <v>12</v>
      </c>
    </row>
    <row r="87" customFormat="false" ht="15" hidden="false" customHeight="false" outlineLevel="0" collapsed="false">
      <c r="A87" s="12"/>
      <c r="B87" s="13"/>
      <c r="C87" s="13"/>
      <c r="D87" s="13"/>
      <c r="E87" s="14"/>
      <c r="F87" s="14"/>
      <c r="G87" s="13" t="n">
        <f aca="false">IFERROR(YEAR(A87),"")</f>
        <v>1899</v>
      </c>
      <c r="H87" s="13" t="n">
        <f aca="false">IFERROR(MONTH(A87),"")</f>
        <v>12</v>
      </c>
    </row>
    <row r="88" customFormat="false" ht="15" hidden="false" customHeight="false" outlineLevel="0" collapsed="false">
      <c r="A88" s="12"/>
      <c r="B88" s="13"/>
      <c r="C88" s="13"/>
      <c r="D88" s="13"/>
      <c r="E88" s="14"/>
      <c r="F88" s="14"/>
      <c r="G88" s="13" t="n">
        <f aca="false">IFERROR(YEAR(A88),"")</f>
        <v>1899</v>
      </c>
      <c r="H88" s="13" t="n">
        <f aca="false">IFERROR(MONTH(A88),"")</f>
        <v>12</v>
      </c>
    </row>
    <row r="89" customFormat="false" ht="15" hidden="false" customHeight="false" outlineLevel="0" collapsed="false">
      <c r="A89" s="12"/>
      <c r="B89" s="13"/>
      <c r="C89" s="13"/>
      <c r="D89" s="13"/>
      <c r="E89" s="14"/>
      <c r="F89" s="14"/>
      <c r="G89" s="13" t="n">
        <f aca="false">IFERROR(YEAR(A89),"")</f>
        <v>1899</v>
      </c>
      <c r="H89" s="13" t="n">
        <f aca="false">IFERROR(MONTH(A89),"")</f>
        <v>12</v>
      </c>
    </row>
    <row r="90" customFormat="false" ht="15" hidden="false" customHeight="false" outlineLevel="0" collapsed="false">
      <c r="A90" s="12"/>
      <c r="B90" s="13"/>
      <c r="C90" s="13"/>
      <c r="D90" s="13"/>
      <c r="E90" s="14"/>
      <c r="F90" s="14"/>
      <c r="G90" s="13" t="n">
        <f aca="false">IFERROR(YEAR(A90),"")</f>
        <v>1899</v>
      </c>
      <c r="H90" s="13" t="n">
        <f aca="false">IFERROR(MONTH(A90),"")</f>
        <v>12</v>
      </c>
    </row>
    <row r="91" customFormat="false" ht="15" hidden="false" customHeight="false" outlineLevel="0" collapsed="false">
      <c r="A91" s="12"/>
      <c r="B91" s="13"/>
      <c r="C91" s="13"/>
      <c r="D91" s="13"/>
      <c r="E91" s="14"/>
      <c r="F91" s="14"/>
      <c r="G91" s="13" t="n">
        <f aca="false">IFERROR(YEAR(A91),"")</f>
        <v>1899</v>
      </c>
      <c r="H91" s="13" t="n">
        <f aca="false">IFERROR(MONTH(A91),"")</f>
        <v>12</v>
      </c>
    </row>
    <row r="92" customFormat="false" ht="15" hidden="false" customHeight="false" outlineLevel="0" collapsed="false">
      <c r="A92" s="12"/>
      <c r="B92" s="13"/>
      <c r="C92" s="13"/>
      <c r="D92" s="13"/>
      <c r="E92" s="14"/>
      <c r="F92" s="14"/>
      <c r="G92" s="13" t="n">
        <f aca="false">IFERROR(YEAR(A92),"")</f>
        <v>1899</v>
      </c>
      <c r="H92" s="13" t="n">
        <f aca="false">IFERROR(MONTH(A92),"")</f>
        <v>12</v>
      </c>
    </row>
    <row r="93" customFormat="false" ht="15" hidden="false" customHeight="false" outlineLevel="0" collapsed="false">
      <c r="A93" s="12"/>
      <c r="B93" s="13"/>
      <c r="C93" s="13"/>
      <c r="D93" s="13"/>
      <c r="E93" s="14"/>
      <c r="F93" s="14"/>
      <c r="G93" s="13" t="n">
        <f aca="false">IFERROR(YEAR(A93),"")</f>
        <v>1899</v>
      </c>
      <c r="H93" s="13" t="n">
        <f aca="false">IFERROR(MONTH(A93),"")</f>
        <v>12</v>
      </c>
    </row>
    <row r="94" customFormat="false" ht="15" hidden="false" customHeight="false" outlineLevel="0" collapsed="false">
      <c r="A94" s="12"/>
      <c r="B94" s="13"/>
      <c r="C94" s="13"/>
      <c r="D94" s="13"/>
      <c r="E94" s="14"/>
      <c r="F94" s="14"/>
      <c r="G94" s="13" t="n">
        <f aca="false">IFERROR(YEAR(A94),"")</f>
        <v>1899</v>
      </c>
      <c r="H94" s="13" t="n">
        <f aca="false">IFERROR(MONTH(A94),"")</f>
        <v>12</v>
      </c>
    </row>
    <row r="95" customFormat="false" ht="15" hidden="false" customHeight="false" outlineLevel="0" collapsed="false">
      <c r="A95" s="12"/>
      <c r="B95" s="13"/>
      <c r="C95" s="13"/>
      <c r="D95" s="13"/>
      <c r="E95" s="14"/>
      <c r="F95" s="14"/>
      <c r="G95" s="13" t="n">
        <f aca="false">IFERROR(YEAR(A95),"")</f>
        <v>1899</v>
      </c>
      <c r="H95" s="13" t="n">
        <f aca="false">IFERROR(MONTH(A95),"")</f>
        <v>12</v>
      </c>
    </row>
    <row r="96" customFormat="false" ht="15" hidden="false" customHeight="false" outlineLevel="0" collapsed="false">
      <c r="A96" s="12"/>
      <c r="B96" s="13"/>
      <c r="C96" s="13"/>
      <c r="D96" s="13"/>
      <c r="E96" s="14"/>
      <c r="F96" s="14"/>
      <c r="G96" s="13" t="n">
        <f aca="false">IFERROR(YEAR(A96),"")</f>
        <v>1899</v>
      </c>
      <c r="H96" s="13" t="n">
        <f aca="false">IFERROR(MONTH(A96),"")</f>
        <v>12</v>
      </c>
    </row>
    <row r="97" customFormat="false" ht="15" hidden="false" customHeight="false" outlineLevel="0" collapsed="false">
      <c r="A97" s="12"/>
      <c r="B97" s="13"/>
      <c r="C97" s="13"/>
      <c r="D97" s="13"/>
      <c r="E97" s="14"/>
      <c r="F97" s="14"/>
      <c r="G97" s="13" t="n">
        <f aca="false">IFERROR(YEAR(A97),"")</f>
        <v>1899</v>
      </c>
      <c r="H97" s="13" t="n">
        <f aca="false">IFERROR(MONTH(A97),"")</f>
        <v>12</v>
      </c>
    </row>
    <row r="98" customFormat="false" ht="15" hidden="false" customHeight="false" outlineLevel="0" collapsed="false">
      <c r="A98" s="12"/>
      <c r="B98" s="13"/>
      <c r="C98" s="13"/>
      <c r="D98" s="13"/>
      <c r="E98" s="14"/>
      <c r="F98" s="14"/>
      <c r="G98" s="13" t="n">
        <f aca="false">IFERROR(YEAR(A98),"")</f>
        <v>1899</v>
      </c>
      <c r="H98" s="13" t="n">
        <f aca="false">IFERROR(MONTH(A98),"")</f>
        <v>12</v>
      </c>
    </row>
    <row r="99" customFormat="false" ht="15" hidden="false" customHeight="false" outlineLevel="0" collapsed="false">
      <c r="A99" s="12"/>
      <c r="B99" s="13"/>
      <c r="C99" s="13"/>
      <c r="D99" s="13"/>
      <c r="E99" s="14"/>
      <c r="F99" s="14"/>
      <c r="G99" s="13" t="n">
        <f aca="false">IFERROR(YEAR(A99),"")</f>
        <v>1899</v>
      </c>
      <c r="H99" s="13" t="n">
        <f aca="false">IFERROR(MONTH(A99),"")</f>
        <v>12</v>
      </c>
    </row>
    <row r="100" customFormat="false" ht="15" hidden="false" customHeight="false" outlineLevel="0" collapsed="false">
      <c r="A100" s="12"/>
      <c r="B100" s="13"/>
      <c r="C100" s="13"/>
      <c r="D100" s="13"/>
      <c r="E100" s="14"/>
      <c r="F100" s="14"/>
      <c r="G100" s="13" t="n">
        <f aca="false">IFERROR(YEAR(A100),"")</f>
        <v>1899</v>
      </c>
      <c r="H100" s="13" t="n">
        <f aca="false">IFERROR(MONTH(A100),"")</f>
        <v>12</v>
      </c>
    </row>
    <row r="101" customFormat="false" ht="15" hidden="false" customHeight="false" outlineLevel="0" collapsed="false">
      <c r="A101" s="12"/>
      <c r="B101" s="13"/>
      <c r="C101" s="13"/>
      <c r="D101" s="13"/>
      <c r="E101" s="14"/>
      <c r="F101" s="14"/>
      <c r="G101" s="13" t="n">
        <f aca="false">IFERROR(YEAR(A101),"")</f>
        <v>1899</v>
      </c>
      <c r="H101" s="13" t="n">
        <f aca="false">IFERROR(MONTH(A101),"")</f>
        <v>12</v>
      </c>
    </row>
    <row r="102" customFormat="false" ht="15" hidden="false" customHeight="false" outlineLevel="0" collapsed="false">
      <c r="A102" s="12"/>
      <c r="B102" s="13"/>
      <c r="C102" s="13"/>
      <c r="D102" s="13"/>
      <c r="E102" s="14"/>
      <c r="F102" s="14"/>
      <c r="G102" s="13" t="n">
        <f aca="false">IFERROR(YEAR(A102),"")</f>
        <v>1899</v>
      </c>
      <c r="H102" s="13" t="n">
        <f aca="false">IFERROR(MONTH(A102),"")</f>
        <v>12</v>
      </c>
    </row>
  </sheetData>
  <mergeCells count="1">
    <mergeCell ref="A1:H1"/>
  </mergeCells>
  <conditionalFormatting sqref="A3:H102">
    <cfRule type="expression" priority="2" aboveAverage="0" equalAverage="0" bottom="0" percent="0" rank="0" text="" dxfId="0">
      <formula>$B3="Income"</formula>
    </cfRule>
    <cfRule type="expression" priority="3" aboveAverage="0" equalAverage="0" bottom="0" percent="0" rank="0" text="" dxfId="1">
      <formula>$B3="Expense"</formula>
    </cfRule>
  </conditionalFormatting>
  <dataValidations count="2">
    <dataValidation allowBlank="true" errorStyle="stop" operator="between" showDropDown="false" showErrorMessage="false" showInputMessage="false" sqref="B3:B102" type="list">
      <formula1>"Income,Expense"</formula1>
      <formula2>0</formula2>
    </dataValidation>
    <dataValidation allowBlank="true" errorStyle="stop" operator="between" showDropDown="false" showErrorMessage="false" showInputMessage="false" sqref="C3:C102" type="list">
      <formula1>Setup!$C$9:$C$22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8"/>
    <col collapsed="false" customWidth="true" hidden="false" outlineLevel="0" max="5" min="4" style="0" width="17"/>
  </cols>
  <sheetData>
    <row r="1" customFormat="false" ht="16.15" hidden="false" customHeight="false" outlineLevel="0" collapsed="false">
      <c r="A1" s="1" t="s">
        <v>44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4" t="s">
        <v>45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6" t="s">
        <v>42</v>
      </c>
      <c r="B3" s="15" t="n">
        <v>2026</v>
      </c>
    </row>
    <row r="5" customFormat="false" ht="27.75" hidden="false" customHeight="true" outlineLevel="0" collapsed="false">
      <c r="A5" s="16" t="s">
        <v>46</v>
      </c>
      <c r="B5" s="16" t="s">
        <v>47</v>
      </c>
      <c r="C5" s="16" t="s">
        <v>48</v>
      </c>
      <c r="D5" s="16" t="s">
        <v>49</v>
      </c>
      <c r="E5" s="16" t="s">
        <v>50</v>
      </c>
    </row>
    <row r="6" customFormat="false" ht="24" hidden="false" customHeight="true" outlineLevel="0" collapsed="false">
      <c r="A6" s="17" t="n">
        <f aca="false">'Account Balance'!B4</f>
        <v>0</v>
      </c>
      <c r="B6" s="17" t="n">
        <f aca="false">SUMIFS(Transactions!$E$3:$E$102,Transactions!$B$3:$B$102,"Income",Transactions!$G$3:$G$102,$B$3)-SUMIFS(Transactions!$E$3:$E$102,Transactions!$B$3:$B$102,"Expense",Transactions!$G$3:$G$102,$B$3)</f>
        <v>0</v>
      </c>
      <c r="C6" s="18" t="n">
        <f aca="false">IFERROR(B6/SUMIFS(Transactions!$E$3:$E$102,Transactions!$B$3:$B$102,"Income",Transactions!$G$3:$G$102,$B$3),0)</f>
        <v>0</v>
      </c>
      <c r="D6" s="18" t="n">
        <f aca="false">IFERROR((SUMIFS(Transactions!$E$3:$E$102,Transactions!$B$3:$B$102,"Income",Transactions!$G$3:$G$102,$B$3)-SUMIFS(Transactions!$E$3:$E$102,Transactions!$B$3:$B$102,"Income",Transactions!$G$3:$G$102,$B$3-1))/SUMIFS(Transactions!$E$3:$E$102,Transactions!$B$3:$B$102,"Income",Transactions!$G$3:$G$102,$B$3-1),0)</f>
        <v>0</v>
      </c>
      <c r="E6" s="19" t="n">
        <f aca="false">IFERROR(A6/(SUMIFS(Transactions!$E$3:$E$102,Transactions!$B$3:$B$102,"Expense",Transactions!$G$3:$G$102,$B$3)/12),0)</f>
        <v>0</v>
      </c>
    </row>
    <row r="9" customFormat="false" ht="15" hidden="false" customHeight="false" outlineLevel="0" collapsed="false">
      <c r="A9" s="6" t="s">
        <v>51</v>
      </c>
    </row>
    <row r="10" customFormat="false" ht="15" hidden="false" customHeight="false" outlineLevel="0" collapsed="false">
      <c r="A10" s="10" t="s">
        <v>52</v>
      </c>
      <c r="B10" s="20" t="n">
        <f aca="false">IFERROR(B6/Setup!$B$6,0)</f>
        <v>0</v>
      </c>
    </row>
    <row r="12" customFormat="false" ht="15" hidden="false" customHeight="false" outlineLevel="0" collapsed="false">
      <c r="A12" s="6" t="s">
        <v>53</v>
      </c>
    </row>
    <row r="13" customFormat="false" ht="15" hidden="false" customHeight="false" outlineLevel="0" collapsed="false">
      <c r="A13" s="11"/>
      <c r="B13" s="11" t="s">
        <v>38</v>
      </c>
      <c r="C13" s="11" t="s">
        <v>40</v>
      </c>
    </row>
    <row r="14" customFormat="false" ht="15" hidden="false" customHeight="false" outlineLevel="0" collapsed="false">
      <c r="A14" s="10" t="s">
        <v>54</v>
      </c>
      <c r="B14" s="10" t="str">
        <f aca="false">INDEX('Income Breakdown'!A6:A10,MATCH(MAX('Income Breakdown'!C6:C10),'Income Breakdown'!C6:C10,0))</f>
        <v>Sales Revenue</v>
      </c>
      <c r="C14" s="9" t="n">
        <f aca="false">MAX('Income Breakdown'!C6:C10)</f>
        <v>0</v>
      </c>
    </row>
    <row r="15" customFormat="false" ht="15" hidden="false" customHeight="false" outlineLevel="0" collapsed="false">
      <c r="A15" s="10" t="s">
        <v>55</v>
      </c>
      <c r="B15" s="10" t="str">
        <f aca="false">INDEX('Expense Breakdown'!A6:A14,MATCH(MAX('Expense Breakdown'!C6:C14),'Expense Breakdown'!C6:C14,0))</f>
        <v>Cost of Goods</v>
      </c>
      <c r="C15" s="9" t="n">
        <f aca="false">MAX('Expense Breakdown'!C6:C14)</f>
        <v>0</v>
      </c>
    </row>
    <row r="18" customFormat="false" ht="15" hidden="false" customHeight="false" outlineLevel="0" collapsed="false">
      <c r="A18" s="6" t="s">
        <v>56</v>
      </c>
    </row>
    <row r="19" customFormat="false" ht="21.75" hidden="false" customHeight="true" outlineLevel="0" collapsed="false">
      <c r="A19" s="21" t="s">
        <v>57</v>
      </c>
      <c r="B19" s="22" t="n">
        <f aca="false">MIN(MAX(C6/0.3,0),1)*100</f>
        <v>0</v>
      </c>
    </row>
    <row r="20" customFormat="false" ht="21.75" hidden="false" customHeight="true" outlineLevel="0" collapsed="false">
      <c r="A20" s="21" t="s">
        <v>58</v>
      </c>
      <c r="B20" s="22" t="n">
        <f aca="false">MIN(MAX((D6+0.2)/0.4,0),1)*100</f>
        <v>50</v>
      </c>
    </row>
    <row r="21" customFormat="false" ht="21.75" hidden="false" customHeight="true" outlineLevel="0" collapsed="false">
      <c r="A21" s="21" t="s">
        <v>59</v>
      </c>
      <c r="B21" s="22" t="n">
        <f aca="false">MIN(MAX(E6/6,0),1)*100</f>
        <v>0</v>
      </c>
    </row>
    <row r="22" customFormat="false" ht="21.75" hidden="false" customHeight="true" outlineLevel="0" collapsed="false">
      <c r="A22" s="23" t="s">
        <v>60</v>
      </c>
      <c r="B22" s="24" t="n">
        <f aca="false">AVERAGE(B19:B21)</f>
        <v>16.6666666666667</v>
      </c>
    </row>
    <row r="24" customFormat="false" ht="39.75" hidden="false" customHeight="true" outlineLevel="0" collapsed="false">
      <c r="A24" s="25" t="s">
        <v>61</v>
      </c>
      <c r="B24" s="25"/>
      <c r="C24" s="25"/>
    </row>
  </sheetData>
  <mergeCells count="3">
    <mergeCell ref="A1:H1"/>
    <mergeCell ref="A2:H2"/>
    <mergeCell ref="A24:C24"/>
  </mergeCells>
  <conditionalFormatting sqref="B10">
    <cfRule type="dataBar" priority="2">
      <dataBar showValue="1" minLength="10" maxLength="90">
        <cfvo type="num" val="0"/>
        <cfvo type="num" val="1"/>
        <color rgb="FF4C7A47"/>
      </dataBar>
      <extLst>
        <ext xmlns:x14="http://schemas.microsoft.com/office/spreadsheetml/2009/9/main" uri="{B025F937-C7B1-47D3-B67F-A62EFF666E3E}">
          <x14:id>{BE77E0F8-A071-45A4-B9A5-C6805DE718A2}</x14:id>
        </ext>
      </extLst>
    </cfRule>
  </conditionalFormatting>
  <conditionalFormatting sqref="B22">
    <cfRule type="colorScale" priority="3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77E0F8-A071-45A4-B9A5-C6805DE718A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C7A47"/>
              <x14:axisColor rgb="FF000000"/>
            </x14:dataBar>
          </x14:cfRule>
          <xm:sqref>B10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6" min="1" style="0" width="18"/>
  </cols>
  <sheetData>
    <row r="1" customFormat="false" ht="16.15" hidden="false" customHeight="false" outlineLevel="0" collapsed="false">
      <c r="A1" s="1" t="s">
        <v>62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4" t="s">
        <v>63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6" t="s">
        <v>42</v>
      </c>
      <c r="B3" s="15" t="n">
        <v>2026</v>
      </c>
      <c r="C3" s="6" t="s">
        <v>43</v>
      </c>
      <c r="D3" s="15" t="n">
        <v>1</v>
      </c>
    </row>
    <row r="5" customFormat="false" ht="27.75" hidden="false" customHeight="true" outlineLevel="0" collapsed="false">
      <c r="A5" s="16" t="s">
        <v>64</v>
      </c>
      <c r="B5" s="16" t="s">
        <v>65</v>
      </c>
      <c r="C5" s="16" t="s">
        <v>66</v>
      </c>
      <c r="D5" s="16" t="s">
        <v>67</v>
      </c>
      <c r="E5" s="16" t="s">
        <v>41</v>
      </c>
    </row>
    <row r="6" customFormat="false" ht="24" hidden="false" customHeight="true" outlineLevel="0" collapsed="false">
      <c r="A6" s="17" t="n">
        <f aca="false">SUMIFS(Transactions!$E$3:$E$102,Transactions!$B$3:$B$102,"Income",Transactions!$G$3:$G$102,$B$3,Transactions!$H$3:$H$102,$D$3)</f>
        <v>0</v>
      </c>
      <c r="B6" s="17" t="n">
        <f aca="false">SUMIFS(Transactions!$E$3:$E$102,Transactions!$B$3:$B$102,"Expense",Transactions!$G$3:$G$102,$B$3,Transactions!$H$3:$H$102,$D$3)</f>
        <v>0</v>
      </c>
      <c r="C6" s="17" t="n">
        <f aca="false">A6-B6</f>
        <v>0</v>
      </c>
      <c r="D6" s="18" t="n">
        <f aca="false">IFERROR(C6/A6,0)</f>
        <v>0</v>
      </c>
      <c r="E6" s="17" t="n">
        <f aca="false">SUMIFS(Transactions!$F$3:$F$102,Transactions!$G$3:$G$102,$B$3,Transactions!$H$3:$H$102,$D$3)</f>
        <v>0</v>
      </c>
    </row>
    <row r="9" customFormat="false" ht="15" hidden="false" customHeight="false" outlineLevel="0" collapsed="false">
      <c r="A9" s="6" t="s">
        <v>68</v>
      </c>
      <c r="D9" s="6" t="s">
        <v>69</v>
      </c>
    </row>
    <row r="10" customFormat="false" ht="15" hidden="false" customHeight="false" outlineLevel="0" collapsed="false">
      <c r="A10" s="11" t="s">
        <v>38</v>
      </c>
      <c r="B10" s="11" t="s">
        <v>70</v>
      </c>
      <c r="D10" s="11" t="s">
        <v>38</v>
      </c>
      <c r="E10" s="11" t="s">
        <v>70</v>
      </c>
    </row>
    <row r="11" customFormat="false" ht="15" hidden="false" customHeight="false" outlineLevel="0" collapsed="false">
      <c r="A11" s="10" t="s">
        <v>21</v>
      </c>
      <c r="B11" s="9" t="n">
        <f aca="false">SUMIFS(Transactions!$E$3:$E$102,Transactions!$B$3:$B$102,"Income",Transactions!$C$3:$C$102,"Sales Revenue",Transactions!$G$3:$G$102,$B$3,Transactions!$H$3:$H$102,$D$3)</f>
        <v>0</v>
      </c>
      <c r="D11" s="10" t="s">
        <v>22</v>
      </c>
      <c r="E11" s="9" t="n">
        <f aca="false">SUMIFS(Transactions!$E$3:$E$102,Transactions!$B$3:$B$102,"Expense",Transactions!$C$3:$C$102,"Cost of Goods",Transactions!$G$3:$G$102,$B$3,Transactions!$H$3:$H$102,$D$3)</f>
        <v>0</v>
      </c>
    </row>
    <row r="12" customFormat="false" ht="15" hidden="false" customHeight="false" outlineLevel="0" collapsed="false">
      <c r="A12" s="10" t="s">
        <v>23</v>
      </c>
      <c r="B12" s="9" t="n">
        <f aca="false">SUMIFS(Transactions!$E$3:$E$102,Transactions!$B$3:$B$102,"Income",Transactions!$C$3:$C$102,"Shipping Income",Transactions!$G$3:$G$102,$B$3,Transactions!$H$3:$H$102,$D$3)</f>
        <v>0</v>
      </c>
      <c r="D12" s="10" t="s">
        <v>24</v>
      </c>
      <c r="E12" s="9" t="n">
        <f aca="false">SUMIFS(Transactions!$E$3:$E$102,Transactions!$B$3:$B$102,"Expense",Transactions!$C$3:$C$102,"Shipping Costs",Transactions!$G$3:$G$102,$B$3,Transactions!$H$3:$H$102,$D$3)</f>
        <v>0</v>
      </c>
    </row>
    <row r="13" customFormat="false" ht="15" hidden="false" customHeight="false" outlineLevel="0" collapsed="false">
      <c r="A13" s="10" t="s">
        <v>25</v>
      </c>
      <c r="B13" s="9" t="n">
        <f aca="false">SUMIFS(Transactions!$E$3:$E$102,Transactions!$B$3:$B$102,"Income",Transactions!$C$3:$C$102,"Custom Orders",Transactions!$G$3:$G$102,$B$3,Transactions!$H$3:$H$102,$D$3)</f>
        <v>0</v>
      </c>
      <c r="D13" s="10" t="s">
        <v>26</v>
      </c>
      <c r="E13" s="9" t="n">
        <f aca="false">SUMIFS(Transactions!$E$3:$E$102,Transactions!$B$3:$B$102,"Expense",Transactions!$C$3:$C$102,"Marketing",Transactions!$G$3:$G$102,$B$3,Transactions!$H$3:$H$102,$D$3)</f>
        <v>0</v>
      </c>
    </row>
    <row r="14" customFormat="false" ht="15" hidden="false" customHeight="false" outlineLevel="0" collapsed="false">
      <c r="A14" s="10" t="s">
        <v>27</v>
      </c>
      <c r="B14" s="9" t="n">
        <f aca="false">SUMIFS(Transactions!$E$3:$E$102,Transactions!$B$3:$B$102,"Income",Transactions!$C$3:$C$102,"Wholesale",Transactions!$G$3:$G$102,$B$3,Transactions!$H$3:$H$102,$D$3)</f>
        <v>0</v>
      </c>
      <c r="D14" s="10" t="s">
        <v>28</v>
      </c>
      <c r="E14" s="9" t="n">
        <f aca="false">SUMIFS(Transactions!$E$3:$E$102,Transactions!$B$3:$B$102,"Expense",Transactions!$C$3:$C$102,"Software &amp; Tools",Transactions!$G$3:$G$102,$B$3,Transactions!$H$3:$H$102,$D$3)</f>
        <v>0</v>
      </c>
    </row>
    <row r="15" customFormat="false" ht="15" hidden="false" customHeight="false" outlineLevel="0" collapsed="false">
      <c r="A15" s="10" t="s">
        <v>29</v>
      </c>
      <c r="B15" s="9" t="n">
        <f aca="false">SUMIFS(Transactions!$E$3:$E$102,Transactions!$B$3:$B$102,"Income",Transactions!$C$3:$C$102,"Other Income",Transactions!$G$3:$G$102,$B$3,Transactions!$H$3:$H$102,$D$3)</f>
        <v>0</v>
      </c>
      <c r="D15" s="10" t="s">
        <v>30</v>
      </c>
      <c r="E15" s="9" t="n">
        <f aca="false">SUMIFS(Transactions!$E$3:$E$102,Transactions!$B$3:$B$102,"Expense",Transactions!$C$3:$C$102,"Fees &amp; Commissions",Transactions!$G$3:$G$102,$B$3,Transactions!$H$3:$H$102,$D$3)</f>
        <v>0</v>
      </c>
    </row>
    <row r="16" customFormat="false" ht="15" hidden="false" customHeight="false" outlineLevel="0" collapsed="false">
      <c r="D16" s="10" t="s">
        <v>31</v>
      </c>
      <c r="E16" s="9" t="n">
        <f aca="false">SUMIFS(Transactions!$E$3:$E$102,Transactions!$B$3:$B$102,"Expense",Transactions!$C$3:$C$102,"Office Supplies",Transactions!$G$3:$G$102,$B$3,Transactions!$H$3:$H$102,$D$3)</f>
        <v>0</v>
      </c>
    </row>
    <row r="17" customFormat="false" ht="15" hidden="false" customHeight="false" outlineLevel="0" collapsed="false">
      <c r="D17" s="10" t="s">
        <v>32</v>
      </c>
      <c r="E17" s="9" t="n">
        <f aca="false">SUMIFS(Transactions!$E$3:$E$102,Transactions!$B$3:$B$102,"Expense",Transactions!$C$3:$C$102,"Rent",Transactions!$G$3:$G$102,$B$3,Transactions!$H$3:$H$102,$D$3)</f>
        <v>0</v>
      </c>
    </row>
    <row r="18" customFormat="false" ht="15" hidden="false" customHeight="false" outlineLevel="0" collapsed="false">
      <c r="D18" s="10" t="s">
        <v>33</v>
      </c>
      <c r="E18" s="9" t="n">
        <f aca="false">SUMIFS(Transactions!$E$3:$E$102,Transactions!$B$3:$B$102,"Expense",Transactions!$C$3:$C$102,"Utilities",Transactions!$G$3:$G$102,$B$3,Transactions!$H$3:$H$102,$D$3)</f>
        <v>0</v>
      </c>
    </row>
    <row r="19" customFormat="false" ht="15" hidden="false" customHeight="false" outlineLevel="0" collapsed="false">
      <c r="D19" s="10" t="s">
        <v>34</v>
      </c>
      <c r="E19" s="9" t="n">
        <f aca="false">SUMIFS(Transactions!$E$3:$E$102,Transactions!$B$3:$B$102,"Expense",Transactions!$C$3:$C$102,"Other Expense",Transactions!$G$3:$G$102,$B$3,Transactions!$H$3:$H$102,$D$3)</f>
        <v>0</v>
      </c>
    </row>
    <row r="24" customFormat="false" ht="15" hidden="false" customHeight="false" outlineLevel="0" collapsed="false">
      <c r="A24" s="6" t="s">
        <v>71</v>
      </c>
    </row>
    <row r="25" customFormat="false" ht="15" hidden="false" customHeight="false" outlineLevel="0" collapsed="false">
      <c r="A25" s="11" t="s">
        <v>72</v>
      </c>
      <c r="B25" s="11" t="s">
        <v>70</v>
      </c>
    </row>
    <row r="26" customFormat="false" ht="15" hidden="false" customHeight="false" outlineLevel="0" collapsed="false">
      <c r="A26" s="10" t="s">
        <v>73</v>
      </c>
      <c r="B26" s="9" t="n">
        <f aca="false">A6</f>
        <v>0</v>
      </c>
    </row>
    <row r="27" customFormat="false" ht="15" hidden="false" customHeight="false" outlineLevel="0" collapsed="false">
      <c r="A27" s="10" t="s">
        <v>74</v>
      </c>
      <c r="B27" s="9" t="n">
        <f aca="false">B6</f>
        <v>0</v>
      </c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D3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5" min="1" style="0" width="16"/>
  </cols>
  <sheetData>
    <row r="1" customFormat="false" ht="16.15" hidden="false" customHeight="false" outlineLevel="0" collapsed="false">
      <c r="A1" s="1" t="s">
        <v>75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4" t="s">
        <v>63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6" t="s">
        <v>42</v>
      </c>
      <c r="B3" s="15" t="n">
        <v>2026</v>
      </c>
      <c r="C3" s="6" t="s">
        <v>76</v>
      </c>
      <c r="D3" s="15" t="n">
        <v>1</v>
      </c>
    </row>
    <row r="5" customFormat="false" ht="27.75" hidden="false" customHeight="true" outlineLevel="0" collapsed="false">
      <c r="A5" s="16" t="s">
        <v>64</v>
      </c>
      <c r="B5" s="16" t="s">
        <v>65</v>
      </c>
      <c r="C5" s="16" t="s">
        <v>66</v>
      </c>
      <c r="D5" s="16" t="s">
        <v>67</v>
      </c>
      <c r="E5" s="16" t="s">
        <v>41</v>
      </c>
    </row>
    <row r="6" customFormat="false" ht="24" hidden="false" customHeight="true" outlineLevel="0" collapsed="false">
      <c r="A6" s="17" t="n">
        <f aca="false">SUMIFS(Transactions!$E$3:$E$102,Transactions!$B$3:$B$102,"Income",Transactions!$G$3:$G$102,$B$3,Transactions!$H$3:$H$102,"&gt;="&amp;(($D$3-1)*3+1),Transactions!$H$3:$H$102,"&lt;="&amp;((($D$3-1)*3+1)+2))</f>
        <v>0</v>
      </c>
      <c r="B6" s="17" t="n">
        <f aca="false">SUMIFS(Transactions!$E$3:$E$102,Transactions!$B$3:$B$102,"Expense",Transactions!$G$3:$G$102,$B$3,Transactions!$H$3:$H$102,"&gt;="&amp;(($D$3-1)*3+1),Transactions!$H$3:$H$102,"&lt;="&amp;((($D$3-1)*3+1)+2))</f>
        <v>0</v>
      </c>
      <c r="C6" s="17" t="n">
        <f aca="false">A6-B6</f>
        <v>0</v>
      </c>
      <c r="D6" s="18" t="n">
        <f aca="false">IFERROR(C6/A6,0)</f>
        <v>0</v>
      </c>
      <c r="E6" s="17" t="n">
        <f aca="false">SUMIFS(Transactions!$F$3:$F$102,Transactions!$G$3:$G$102,$B$3,Transactions!$H$3:$H$102,"&gt;="&amp;(($D$3-1)*3+1),Transactions!$H$3:$H$102,"&lt;="&amp;((($D$3-1)*3+1)+2))</f>
        <v>0</v>
      </c>
    </row>
    <row r="9" customFormat="false" ht="15" hidden="false" customHeight="false" outlineLevel="0" collapsed="false">
      <c r="A9" s="6" t="s">
        <v>77</v>
      </c>
    </row>
    <row r="10" customFormat="false" ht="15" hidden="false" customHeight="false" outlineLevel="0" collapsed="false">
      <c r="A10" s="11" t="s">
        <v>76</v>
      </c>
      <c r="B10" s="11" t="s">
        <v>73</v>
      </c>
      <c r="C10" s="11" t="s">
        <v>74</v>
      </c>
      <c r="D10" s="11" t="s">
        <v>78</v>
      </c>
    </row>
    <row r="11" customFormat="false" ht="15" hidden="false" customHeight="false" outlineLevel="0" collapsed="false">
      <c r="A11" s="10" t="s">
        <v>79</v>
      </c>
      <c r="B11" s="9" t="n">
        <f aca="false">SUMIFS(Transactions!$E$3:$E$102,Transactions!$B$3:$B$102,"Income",Transactions!$G$3:$G$102,$B$3,Transactions!$H$3:$H$102,"&gt;="&amp;((1-1)*3+1),Transactions!$H$3:$H$102,"&lt;="&amp;(((1-1)*3+1)+2))</f>
        <v>0</v>
      </c>
      <c r="C11" s="9" t="n">
        <f aca="false">SUMIFS(Transactions!$E$3:$E$102,Transactions!$B$3:$B$102,"Expense",Transactions!$G$3:$G$102,$B$3,Transactions!$H$3:$H$102,"&gt;="&amp;((1-1)*3+1),Transactions!$H$3:$H$102,"&lt;="&amp;(((1-1)*3+1)+2))</f>
        <v>0</v>
      </c>
      <c r="D11" s="9" t="n">
        <f aca="false">B11-C11</f>
        <v>0</v>
      </c>
    </row>
    <row r="12" customFormat="false" ht="15" hidden="false" customHeight="false" outlineLevel="0" collapsed="false">
      <c r="A12" s="10" t="s">
        <v>80</v>
      </c>
      <c r="B12" s="9" t="n">
        <f aca="false">SUMIFS(Transactions!$E$3:$E$102,Transactions!$B$3:$B$102,"Income",Transactions!$G$3:$G$102,$B$3,Transactions!$H$3:$H$102,"&gt;="&amp;((2-1)*3+1),Transactions!$H$3:$H$102,"&lt;="&amp;(((2-1)*3+1)+2))</f>
        <v>0</v>
      </c>
      <c r="C12" s="9" t="n">
        <f aca="false">SUMIFS(Transactions!$E$3:$E$102,Transactions!$B$3:$B$102,"Expense",Transactions!$G$3:$G$102,$B$3,Transactions!$H$3:$H$102,"&gt;="&amp;((2-1)*3+1),Transactions!$H$3:$H$102,"&lt;="&amp;(((2-1)*3+1)+2))</f>
        <v>0</v>
      </c>
      <c r="D12" s="9" t="n">
        <f aca="false">B12-C12</f>
        <v>0</v>
      </c>
    </row>
    <row r="13" customFormat="false" ht="15" hidden="false" customHeight="false" outlineLevel="0" collapsed="false">
      <c r="A13" s="10" t="s">
        <v>81</v>
      </c>
      <c r="B13" s="9" t="n">
        <f aca="false">SUMIFS(Transactions!$E$3:$E$102,Transactions!$B$3:$B$102,"Income",Transactions!$G$3:$G$102,$B$3,Transactions!$H$3:$H$102,"&gt;="&amp;((3-1)*3+1),Transactions!$H$3:$H$102,"&lt;="&amp;(((3-1)*3+1)+2))</f>
        <v>0</v>
      </c>
      <c r="C13" s="9" t="n">
        <f aca="false">SUMIFS(Transactions!$E$3:$E$102,Transactions!$B$3:$B$102,"Expense",Transactions!$G$3:$G$102,$B$3,Transactions!$H$3:$H$102,"&gt;="&amp;((3-1)*3+1),Transactions!$H$3:$H$102,"&lt;="&amp;(((3-1)*3+1)+2))</f>
        <v>0</v>
      </c>
      <c r="D13" s="9" t="n">
        <f aca="false">B13-C13</f>
        <v>0</v>
      </c>
    </row>
    <row r="14" customFormat="false" ht="15" hidden="false" customHeight="false" outlineLevel="0" collapsed="false">
      <c r="A14" s="10" t="s">
        <v>82</v>
      </c>
      <c r="B14" s="9" t="n">
        <f aca="false">SUMIFS(Transactions!$E$3:$E$102,Transactions!$B$3:$B$102,"Income",Transactions!$G$3:$G$102,$B$3,Transactions!$H$3:$H$102,"&gt;="&amp;((4-1)*3+1),Transactions!$H$3:$H$102,"&lt;="&amp;(((4-1)*3+1)+2))</f>
        <v>0</v>
      </c>
      <c r="C14" s="9" t="n">
        <f aca="false">SUMIFS(Transactions!$E$3:$E$102,Transactions!$B$3:$B$102,"Expense",Transactions!$G$3:$G$102,$B$3,Transactions!$H$3:$H$102,"&gt;="&amp;((4-1)*3+1),Transactions!$H$3:$H$102,"&lt;="&amp;(((4-1)*3+1)+2))</f>
        <v>0</v>
      </c>
      <c r="D14" s="9" t="n">
        <f aca="false">B14-C14</f>
        <v>0</v>
      </c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D3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6" min="1" style="0" width="14"/>
  </cols>
  <sheetData>
    <row r="1" customFormat="false" ht="16.15" hidden="false" customHeight="false" outlineLevel="0" collapsed="false">
      <c r="A1" s="1" t="s">
        <v>83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4" t="s">
        <v>63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6" t="s">
        <v>42</v>
      </c>
      <c r="B3" s="15" t="n">
        <v>2026</v>
      </c>
    </row>
    <row r="5" customFormat="false" ht="27.75" hidden="false" customHeight="true" outlineLevel="0" collapsed="false">
      <c r="A5" s="16" t="s">
        <v>64</v>
      </c>
      <c r="B5" s="16" t="s">
        <v>65</v>
      </c>
      <c r="C5" s="16" t="s">
        <v>66</v>
      </c>
      <c r="D5" s="16" t="s">
        <v>67</v>
      </c>
      <c r="E5" s="16" t="s">
        <v>41</v>
      </c>
    </row>
    <row r="6" customFormat="false" ht="24" hidden="false" customHeight="true" outlineLevel="0" collapsed="false">
      <c r="A6" s="17" t="n">
        <f aca="false">SUMIFS(Transactions!$E$3:$E$102,Transactions!$B$3:$B$102,"Income",Transactions!$G$3:$G$102,$B$3)</f>
        <v>0</v>
      </c>
      <c r="B6" s="17" t="n">
        <f aca="false">SUMIFS(Transactions!$E$3:$E$102,Transactions!$B$3:$B$102,"Expense",Transactions!$G$3:$G$102,$B$3)</f>
        <v>0</v>
      </c>
      <c r="C6" s="17" t="n">
        <f aca="false">A6-B6</f>
        <v>0</v>
      </c>
      <c r="D6" s="18" t="n">
        <f aca="false">IFERROR(C6/A6,0)</f>
        <v>0</v>
      </c>
      <c r="E6" s="17" t="n">
        <f aca="false">SUMIFS(Transactions!$F$3:$F$102,Transactions!$G$3:$G$102,$B$3)</f>
        <v>0</v>
      </c>
    </row>
    <row r="9" customFormat="false" ht="15" hidden="false" customHeight="false" outlineLevel="0" collapsed="false">
      <c r="A9" s="6" t="s">
        <v>84</v>
      </c>
    </row>
    <row r="10" customFormat="false" ht="15" hidden="false" customHeight="false" outlineLevel="0" collapsed="false">
      <c r="A10" s="11" t="s">
        <v>43</v>
      </c>
      <c r="B10" s="11" t="s">
        <v>73</v>
      </c>
      <c r="C10" s="11" t="s">
        <v>74</v>
      </c>
      <c r="D10" s="11" t="s">
        <v>78</v>
      </c>
      <c r="E10" s="11" t="s">
        <v>85</v>
      </c>
      <c r="F10" s="11" t="s">
        <v>86</v>
      </c>
    </row>
    <row r="11" customFormat="false" ht="15" hidden="false" customHeight="false" outlineLevel="0" collapsed="false">
      <c r="A11" s="10" t="s">
        <v>87</v>
      </c>
      <c r="B11" s="9" t="n">
        <f aca="false">SUMIFS(Transactions!$E$3:$E$102,Transactions!$B$3:$B$102,"Income",Transactions!$G$3:$G$102,$B$3,Transactions!$H$3:$H$102,1)</f>
        <v>0</v>
      </c>
      <c r="C11" s="9" t="n">
        <f aca="false">SUMIFS(Transactions!$E$3:$E$102,Transactions!$B$3:$B$102,"Expense",Transactions!$G$3:$G$102,$B$3,Transactions!$H$3:$H$102,1)</f>
        <v>0</v>
      </c>
      <c r="D11" s="9" t="n">
        <f aca="false">B11-C11</f>
        <v>0</v>
      </c>
      <c r="E11" s="9" t="n">
        <f aca="false">Setup!$B$5</f>
        <v>2000</v>
      </c>
      <c r="F11" s="9" t="n">
        <f aca="false">D11-E11</f>
        <v>-2000</v>
      </c>
    </row>
    <row r="12" customFormat="false" ht="15" hidden="false" customHeight="false" outlineLevel="0" collapsed="false">
      <c r="A12" s="10" t="s">
        <v>88</v>
      </c>
      <c r="B12" s="9" t="n">
        <f aca="false">SUMIFS(Transactions!$E$3:$E$102,Transactions!$B$3:$B$102,"Income",Transactions!$G$3:$G$102,$B$3,Transactions!$H$3:$H$102,2)</f>
        <v>0</v>
      </c>
      <c r="C12" s="9" t="n">
        <f aca="false">SUMIFS(Transactions!$E$3:$E$102,Transactions!$B$3:$B$102,"Expense",Transactions!$G$3:$G$102,$B$3,Transactions!$H$3:$H$102,2)</f>
        <v>0</v>
      </c>
      <c r="D12" s="9" t="n">
        <f aca="false">B12-C12</f>
        <v>0</v>
      </c>
      <c r="E12" s="9" t="n">
        <f aca="false">Setup!$B$5</f>
        <v>2000</v>
      </c>
      <c r="F12" s="9" t="n">
        <f aca="false">D12-E12</f>
        <v>-2000</v>
      </c>
    </row>
    <row r="13" customFormat="false" ht="15" hidden="false" customHeight="false" outlineLevel="0" collapsed="false">
      <c r="A13" s="10" t="s">
        <v>89</v>
      </c>
      <c r="B13" s="9" t="n">
        <f aca="false">SUMIFS(Transactions!$E$3:$E$102,Transactions!$B$3:$B$102,"Income",Transactions!$G$3:$G$102,$B$3,Transactions!$H$3:$H$102,3)</f>
        <v>0</v>
      </c>
      <c r="C13" s="9" t="n">
        <f aca="false">SUMIFS(Transactions!$E$3:$E$102,Transactions!$B$3:$B$102,"Expense",Transactions!$G$3:$G$102,$B$3,Transactions!$H$3:$H$102,3)</f>
        <v>0</v>
      </c>
      <c r="D13" s="9" t="n">
        <f aca="false">B13-C13</f>
        <v>0</v>
      </c>
      <c r="E13" s="9" t="n">
        <f aca="false">Setup!$B$5</f>
        <v>2000</v>
      </c>
      <c r="F13" s="9" t="n">
        <f aca="false">D13-E13</f>
        <v>-2000</v>
      </c>
    </row>
    <row r="14" customFormat="false" ht="15" hidden="false" customHeight="false" outlineLevel="0" collapsed="false">
      <c r="A14" s="10" t="s">
        <v>90</v>
      </c>
      <c r="B14" s="9" t="n">
        <f aca="false">SUMIFS(Transactions!$E$3:$E$102,Transactions!$B$3:$B$102,"Income",Transactions!$G$3:$G$102,$B$3,Transactions!$H$3:$H$102,4)</f>
        <v>0</v>
      </c>
      <c r="C14" s="9" t="n">
        <f aca="false">SUMIFS(Transactions!$E$3:$E$102,Transactions!$B$3:$B$102,"Expense",Transactions!$G$3:$G$102,$B$3,Transactions!$H$3:$H$102,4)</f>
        <v>0</v>
      </c>
      <c r="D14" s="9" t="n">
        <f aca="false">B14-C14</f>
        <v>0</v>
      </c>
      <c r="E14" s="9" t="n">
        <f aca="false">Setup!$B$5</f>
        <v>2000</v>
      </c>
      <c r="F14" s="9" t="n">
        <f aca="false">D14-E14</f>
        <v>-2000</v>
      </c>
    </row>
    <row r="15" customFormat="false" ht="15" hidden="false" customHeight="false" outlineLevel="0" collapsed="false">
      <c r="A15" s="10" t="s">
        <v>91</v>
      </c>
      <c r="B15" s="9" t="n">
        <f aca="false">SUMIFS(Transactions!$E$3:$E$102,Transactions!$B$3:$B$102,"Income",Transactions!$G$3:$G$102,$B$3,Transactions!$H$3:$H$102,5)</f>
        <v>0</v>
      </c>
      <c r="C15" s="9" t="n">
        <f aca="false">SUMIFS(Transactions!$E$3:$E$102,Transactions!$B$3:$B$102,"Expense",Transactions!$G$3:$G$102,$B$3,Transactions!$H$3:$H$102,5)</f>
        <v>0</v>
      </c>
      <c r="D15" s="9" t="n">
        <f aca="false">B15-C15</f>
        <v>0</v>
      </c>
      <c r="E15" s="9" t="n">
        <f aca="false">Setup!$B$5</f>
        <v>2000</v>
      </c>
      <c r="F15" s="9" t="n">
        <f aca="false">D15-E15</f>
        <v>-2000</v>
      </c>
    </row>
    <row r="16" customFormat="false" ht="15" hidden="false" customHeight="false" outlineLevel="0" collapsed="false">
      <c r="A16" s="10" t="s">
        <v>92</v>
      </c>
      <c r="B16" s="9" t="n">
        <f aca="false">SUMIFS(Transactions!$E$3:$E$102,Transactions!$B$3:$B$102,"Income",Transactions!$G$3:$G$102,$B$3,Transactions!$H$3:$H$102,6)</f>
        <v>0</v>
      </c>
      <c r="C16" s="9" t="n">
        <f aca="false">SUMIFS(Transactions!$E$3:$E$102,Transactions!$B$3:$B$102,"Expense",Transactions!$G$3:$G$102,$B$3,Transactions!$H$3:$H$102,6)</f>
        <v>0</v>
      </c>
      <c r="D16" s="9" t="n">
        <f aca="false">B16-C16</f>
        <v>0</v>
      </c>
      <c r="E16" s="9" t="n">
        <f aca="false">Setup!$B$5</f>
        <v>2000</v>
      </c>
      <c r="F16" s="9" t="n">
        <f aca="false">D16-E16</f>
        <v>-2000</v>
      </c>
    </row>
    <row r="17" customFormat="false" ht="15" hidden="false" customHeight="false" outlineLevel="0" collapsed="false">
      <c r="A17" s="10" t="s">
        <v>93</v>
      </c>
      <c r="B17" s="9" t="n">
        <f aca="false">SUMIFS(Transactions!$E$3:$E$102,Transactions!$B$3:$B$102,"Income",Transactions!$G$3:$G$102,$B$3,Transactions!$H$3:$H$102,7)</f>
        <v>0</v>
      </c>
      <c r="C17" s="9" t="n">
        <f aca="false">SUMIFS(Transactions!$E$3:$E$102,Transactions!$B$3:$B$102,"Expense",Transactions!$G$3:$G$102,$B$3,Transactions!$H$3:$H$102,7)</f>
        <v>0</v>
      </c>
      <c r="D17" s="9" t="n">
        <f aca="false">B17-C17</f>
        <v>0</v>
      </c>
      <c r="E17" s="9" t="n">
        <f aca="false">Setup!$B$5</f>
        <v>2000</v>
      </c>
      <c r="F17" s="9" t="n">
        <f aca="false">D17-E17</f>
        <v>-2000</v>
      </c>
    </row>
    <row r="18" customFormat="false" ht="15" hidden="false" customHeight="false" outlineLevel="0" collapsed="false">
      <c r="A18" s="10" t="s">
        <v>94</v>
      </c>
      <c r="B18" s="9" t="n">
        <f aca="false">SUMIFS(Transactions!$E$3:$E$102,Transactions!$B$3:$B$102,"Income",Transactions!$G$3:$G$102,$B$3,Transactions!$H$3:$H$102,8)</f>
        <v>0</v>
      </c>
      <c r="C18" s="9" t="n">
        <f aca="false">SUMIFS(Transactions!$E$3:$E$102,Transactions!$B$3:$B$102,"Expense",Transactions!$G$3:$G$102,$B$3,Transactions!$H$3:$H$102,8)</f>
        <v>0</v>
      </c>
      <c r="D18" s="9" t="n">
        <f aca="false">B18-C18</f>
        <v>0</v>
      </c>
      <c r="E18" s="9" t="n">
        <f aca="false">Setup!$B$5</f>
        <v>2000</v>
      </c>
      <c r="F18" s="9" t="n">
        <f aca="false">D18-E18</f>
        <v>-2000</v>
      </c>
    </row>
    <row r="19" customFormat="false" ht="15" hidden="false" customHeight="false" outlineLevel="0" collapsed="false">
      <c r="A19" s="10" t="s">
        <v>95</v>
      </c>
      <c r="B19" s="9" t="n">
        <f aca="false">SUMIFS(Transactions!$E$3:$E$102,Transactions!$B$3:$B$102,"Income",Transactions!$G$3:$G$102,$B$3,Transactions!$H$3:$H$102,9)</f>
        <v>0</v>
      </c>
      <c r="C19" s="9" t="n">
        <f aca="false">SUMIFS(Transactions!$E$3:$E$102,Transactions!$B$3:$B$102,"Expense",Transactions!$G$3:$G$102,$B$3,Transactions!$H$3:$H$102,9)</f>
        <v>0</v>
      </c>
      <c r="D19" s="9" t="n">
        <f aca="false">B19-C19</f>
        <v>0</v>
      </c>
      <c r="E19" s="9" t="n">
        <f aca="false">Setup!$B$5</f>
        <v>2000</v>
      </c>
      <c r="F19" s="9" t="n">
        <f aca="false">D19-E19</f>
        <v>-2000</v>
      </c>
    </row>
    <row r="20" customFormat="false" ht="15" hidden="false" customHeight="false" outlineLevel="0" collapsed="false">
      <c r="A20" s="10" t="s">
        <v>96</v>
      </c>
      <c r="B20" s="9" t="n">
        <f aca="false">SUMIFS(Transactions!$E$3:$E$102,Transactions!$B$3:$B$102,"Income",Transactions!$G$3:$G$102,$B$3,Transactions!$H$3:$H$102,10)</f>
        <v>0</v>
      </c>
      <c r="C20" s="9" t="n">
        <f aca="false">SUMIFS(Transactions!$E$3:$E$102,Transactions!$B$3:$B$102,"Expense",Transactions!$G$3:$G$102,$B$3,Transactions!$H$3:$H$102,10)</f>
        <v>0</v>
      </c>
      <c r="D20" s="9" t="n">
        <f aca="false">B20-C20</f>
        <v>0</v>
      </c>
      <c r="E20" s="9" t="n">
        <f aca="false">Setup!$B$5</f>
        <v>2000</v>
      </c>
      <c r="F20" s="9" t="n">
        <f aca="false">D20-E20</f>
        <v>-2000</v>
      </c>
    </row>
    <row r="21" customFormat="false" ht="15" hidden="false" customHeight="false" outlineLevel="0" collapsed="false">
      <c r="A21" s="10" t="s">
        <v>97</v>
      </c>
      <c r="B21" s="9" t="n">
        <f aca="false">SUMIFS(Transactions!$E$3:$E$102,Transactions!$B$3:$B$102,"Income",Transactions!$G$3:$G$102,$B$3,Transactions!$H$3:$H$102,11)</f>
        <v>0</v>
      </c>
      <c r="C21" s="9" t="n">
        <f aca="false">SUMIFS(Transactions!$E$3:$E$102,Transactions!$B$3:$B$102,"Expense",Transactions!$G$3:$G$102,$B$3,Transactions!$H$3:$H$102,11)</f>
        <v>0</v>
      </c>
      <c r="D21" s="9" t="n">
        <f aca="false">B21-C21</f>
        <v>0</v>
      </c>
      <c r="E21" s="9" t="n">
        <f aca="false">Setup!$B$5</f>
        <v>2000</v>
      </c>
      <c r="F21" s="9" t="n">
        <f aca="false">D21-E21</f>
        <v>-2000</v>
      </c>
    </row>
    <row r="22" customFormat="false" ht="15" hidden="false" customHeight="false" outlineLevel="0" collapsed="false">
      <c r="A22" s="10" t="s">
        <v>98</v>
      </c>
      <c r="B22" s="9" t="n">
        <f aca="false">SUMIFS(Transactions!$E$3:$E$102,Transactions!$B$3:$B$102,"Income",Transactions!$G$3:$G$102,$B$3,Transactions!$H$3:$H$102,12)</f>
        <v>0</v>
      </c>
      <c r="C22" s="9" t="n">
        <f aca="false">SUMIFS(Transactions!$E$3:$E$102,Transactions!$B$3:$B$102,"Expense",Transactions!$G$3:$G$102,$B$3,Transactions!$H$3:$H$102,12)</f>
        <v>0</v>
      </c>
      <c r="D22" s="9" t="n">
        <f aca="false">B22-C22</f>
        <v>0</v>
      </c>
      <c r="E22" s="9" t="n">
        <f aca="false">Setup!$B$5</f>
        <v>2000</v>
      </c>
      <c r="F22" s="9" t="n">
        <f aca="false">D22-E22</f>
        <v>-2000</v>
      </c>
    </row>
  </sheetData>
  <mergeCells count="2">
    <mergeCell ref="A1:H1"/>
    <mergeCell ref="A2:H2"/>
  </mergeCells>
  <conditionalFormatting sqref="D11:D22">
    <cfRule type="dataBar" priority="2">
      <dataBar showValue="1" minLength="10" maxLength="90">
        <cfvo type="min" val="0"/>
        <cfvo type="max" val="0"/>
        <color rgb="FF4C7A47"/>
      </dataBar>
      <extLst>
        <ext xmlns:x14="http://schemas.microsoft.com/office/spreadsheetml/2009/9/main" uri="{B025F937-C7B1-47D3-B67F-A62EFF666E3E}">
          <x14:id>{61972E6A-54CA-4D89-A4EA-A9173BDBF0C7}</x14:id>
        </ext>
      </extLst>
    </cfRule>
  </conditionalFormatting>
  <conditionalFormatting sqref="F11:F22">
    <cfRule type="iconSet" priority="3">
      <iconSet iconSet="3Arrows">
        <cfvo type="percent" val="0"/>
        <cfvo type="percent" val="33"/>
        <cfvo type="percent" val="67"/>
      </iconSe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972E6A-54CA-4D89-A4EA-A9173BDBF0C7}">
            <x14:dataBar minLength="10" maxLength="90" axisPosition="none" gradient="true">
              <x14:cfvo type="min"/>
              <x14:cfvo type="max"/>
              <x14:negativeFillColor rgb="FF4C7A47"/>
              <x14:axisColor rgb="FF000000"/>
            </x14:dataBar>
          </x14:cfRule>
          <xm:sqref>D11:D22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15"/>
  </cols>
  <sheetData>
    <row r="1" customFormat="false" ht="16.15" hidden="false" customHeight="false" outlineLevel="0" collapsed="false">
      <c r="A1" s="1" t="s">
        <v>99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4" t="s">
        <v>63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3" t="s">
        <v>100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11" t="s">
        <v>42</v>
      </c>
      <c r="B5" s="11" t="s">
        <v>73</v>
      </c>
      <c r="C5" s="11" t="s">
        <v>74</v>
      </c>
      <c r="D5" s="11" t="s">
        <v>78</v>
      </c>
    </row>
    <row r="6" customFormat="false" ht="15" hidden="false" customHeight="false" outlineLevel="0" collapsed="false">
      <c r="A6" s="26" t="n">
        <f aca="false">'Profit &amp; Loss Summary'!A6</f>
        <v>2024</v>
      </c>
      <c r="B6" s="9" t="n">
        <f aca="false">'Profit &amp; Loss Summary'!B6</f>
        <v>0</v>
      </c>
      <c r="C6" s="9" t="n">
        <f aca="false">'Profit &amp; Loss Summary'!C6</f>
        <v>0</v>
      </c>
      <c r="D6" s="9" t="n">
        <f aca="false">'Profit &amp; Loss Summary'!D6</f>
        <v>0</v>
      </c>
    </row>
    <row r="7" customFormat="false" ht="15" hidden="false" customHeight="false" outlineLevel="0" collapsed="false">
      <c r="A7" s="26" t="n">
        <f aca="false">'Profit &amp; Loss Summary'!A7</f>
        <v>2025</v>
      </c>
      <c r="B7" s="9" t="n">
        <f aca="false">'Profit &amp; Loss Summary'!B7</f>
        <v>0</v>
      </c>
      <c r="C7" s="9" t="n">
        <f aca="false">'Profit &amp; Loss Summary'!C7</f>
        <v>0</v>
      </c>
      <c r="D7" s="9" t="n">
        <f aca="false">'Profit &amp; Loss Summary'!D7</f>
        <v>0</v>
      </c>
    </row>
    <row r="8" customFormat="false" ht="15" hidden="false" customHeight="false" outlineLevel="0" collapsed="false">
      <c r="A8" s="26" t="n">
        <f aca="false">'Profit &amp; Loss Summary'!A8</f>
        <v>2026</v>
      </c>
      <c r="B8" s="9" t="n">
        <f aca="false">'Profit &amp; Loss Summary'!B8</f>
        <v>0</v>
      </c>
      <c r="C8" s="9" t="n">
        <f aca="false">'Profit &amp; Loss Summary'!C8</f>
        <v>0</v>
      </c>
      <c r="D8" s="9" t="n">
        <f aca="false">'Profit &amp; Loss Summary'!D8</f>
        <v>0</v>
      </c>
    </row>
    <row r="9" customFormat="false" ht="15" hidden="false" customHeight="false" outlineLevel="0" collapsed="false">
      <c r="A9" s="26" t="n">
        <f aca="false">'Profit &amp; Loss Summary'!A9</f>
        <v>2027</v>
      </c>
      <c r="B9" s="9" t="n">
        <f aca="false">'Profit &amp; Loss Summary'!B9</f>
        <v>0</v>
      </c>
      <c r="C9" s="9" t="n">
        <f aca="false">'Profit &amp; Loss Summary'!C9</f>
        <v>0</v>
      </c>
      <c r="D9" s="9" t="n">
        <f aca="false">'Profit &amp; Loss Summary'!D9</f>
        <v>0</v>
      </c>
    </row>
    <row r="10" customFormat="false" ht="15" hidden="false" customHeight="false" outlineLevel="0" collapsed="false">
      <c r="A10" s="26" t="n">
        <f aca="false">'Profit &amp; Loss Summary'!A10</f>
        <v>2028</v>
      </c>
      <c r="B10" s="9" t="n">
        <f aca="false">'Profit &amp; Loss Summary'!B10</f>
        <v>0</v>
      </c>
      <c r="C10" s="9" t="n">
        <f aca="false">'Profit &amp; Loss Summary'!C10</f>
        <v>0</v>
      </c>
      <c r="D10" s="9" t="n">
        <f aca="false">'Profit &amp; Loss Summary'!D10</f>
        <v>0</v>
      </c>
    </row>
    <row r="12" customFormat="false" ht="15" hidden="false" customHeight="false" outlineLevel="0" collapsed="false">
      <c r="A12" s="6" t="s">
        <v>101</v>
      </c>
    </row>
    <row r="13" customFormat="false" ht="27.75" hidden="false" customHeight="true" outlineLevel="0" collapsed="false">
      <c r="A13" s="16" t="s">
        <v>64</v>
      </c>
      <c r="B13" s="16" t="s">
        <v>65</v>
      </c>
      <c r="C13" s="16" t="s">
        <v>102</v>
      </c>
      <c r="D13" s="16" t="s">
        <v>103</v>
      </c>
    </row>
    <row r="14" customFormat="false" ht="24" hidden="false" customHeight="true" outlineLevel="0" collapsed="false">
      <c r="A14" s="17" t="n">
        <f aca="false">SUM(B6:B10)</f>
        <v>0</v>
      </c>
      <c r="B14" s="17" t="n">
        <f aca="false">SUM(C6:C10)</f>
        <v>0</v>
      </c>
      <c r="C14" s="17" t="n">
        <f aca="false">SUM(D6:D10)</f>
        <v>0</v>
      </c>
      <c r="D14" s="17" t="n">
        <f aca="false">AVERAGE(D6:D10)</f>
        <v>0</v>
      </c>
    </row>
  </sheetData>
  <mergeCells count="3">
    <mergeCell ref="A1:H1"/>
    <mergeCell ref="A2:H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0"/>
  </cols>
  <sheetData>
    <row r="1" customFormat="false" ht="16.15" hidden="false" customHeight="false" outlineLevel="0" collapsed="false">
      <c r="A1" s="1" t="s">
        <v>104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4" t="s">
        <v>63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6" t="s">
        <v>105</v>
      </c>
      <c r="B3" s="15" t="n">
        <v>2026</v>
      </c>
    </row>
    <row r="5" customFormat="false" ht="15" hidden="false" customHeight="false" outlineLevel="0" collapsed="false">
      <c r="A5" s="11" t="s">
        <v>38</v>
      </c>
      <c r="B5" s="11" t="s">
        <v>106</v>
      </c>
      <c r="C5" s="11" t="s">
        <v>107</v>
      </c>
    </row>
    <row r="6" customFormat="false" ht="15" hidden="false" customHeight="false" outlineLevel="0" collapsed="false">
      <c r="A6" s="10" t="s">
        <v>21</v>
      </c>
      <c r="B6" s="9" t="n">
        <f aca="false">SUMIFS(Transactions!$E$3:$E$102,Transactions!$B$3:$B$102,"Income",Transactions!$C$3:$C$102,"Sales Revenue")</f>
        <v>0</v>
      </c>
      <c r="C6" s="9" t="n">
        <f aca="false">SUMIFS(Transactions!$E$3:$E$102,Transactions!$B$3:$B$102,"Income",Transactions!$C$3:$C$102,"Sales Revenue",Transactions!$G$3:$G$102,$B$3)</f>
        <v>0</v>
      </c>
    </row>
    <row r="7" customFormat="false" ht="15" hidden="false" customHeight="false" outlineLevel="0" collapsed="false">
      <c r="A7" s="10" t="s">
        <v>23</v>
      </c>
      <c r="B7" s="9" t="n">
        <f aca="false">SUMIFS(Transactions!$E$3:$E$102,Transactions!$B$3:$B$102,"Income",Transactions!$C$3:$C$102,"Shipping Income")</f>
        <v>0</v>
      </c>
      <c r="C7" s="9" t="n">
        <f aca="false">SUMIFS(Transactions!$E$3:$E$102,Transactions!$B$3:$B$102,"Income",Transactions!$C$3:$C$102,"Shipping Income",Transactions!$G$3:$G$102,$B$3)</f>
        <v>0</v>
      </c>
    </row>
    <row r="8" customFormat="false" ht="15" hidden="false" customHeight="false" outlineLevel="0" collapsed="false">
      <c r="A8" s="10" t="s">
        <v>25</v>
      </c>
      <c r="B8" s="9" t="n">
        <f aca="false">SUMIFS(Transactions!$E$3:$E$102,Transactions!$B$3:$B$102,"Income",Transactions!$C$3:$C$102,"Custom Orders")</f>
        <v>0</v>
      </c>
      <c r="C8" s="9" t="n">
        <f aca="false">SUMIFS(Transactions!$E$3:$E$102,Transactions!$B$3:$B$102,"Income",Transactions!$C$3:$C$102,"Custom Orders",Transactions!$G$3:$G$102,$B$3)</f>
        <v>0</v>
      </c>
    </row>
    <row r="9" customFormat="false" ht="15" hidden="false" customHeight="false" outlineLevel="0" collapsed="false">
      <c r="A9" s="10" t="s">
        <v>27</v>
      </c>
      <c r="B9" s="9" t="n">
        <f aca="false">SUMIFS(Transactions!$E$3:$E$102,Transactions!$B$3:$B$102,"Income",Transactions!$C$3:$C$102,"Wholesale")</f>
        <v>0</v>
      </c>
      <c r="C9" s="9" t="n">
        <f aca="false">SUMIFS(Transactions!$E$3:$E$102,Transactions!$B$3:$B$102,"Income",Transactions!$C$3:$C$102,"Wholesale",Transactions!$G$3:$G$102,$B$3)</f>
        <v>0</v>
      </c>
    </row>
    <row r="10" customFormat="false" ht="15" hidden="false" customHeight="false" outlineLevel="0" collapsed="false">
      <c r="A10" s="10" t="s">
        <v>29</v>
      </c>
      <c r="B10" s="9" t="n">
        <f aca="false">SUMIFS(Transactions!$E$3:$E$102,Transactions!$B$3:$B$102,"Income",Transactions!$C$3:$C$102,"Other Income")</f>
        <v>0</v>
      </c>
      <c r="C10" s="9" t="n">
        <f aca="false">SUMIFS(Transactions!$E$3:$E$102,Transactions!$B$3:$B$102,"Income",Transactions!$C$3:$C$102,"Other Income",Transactions!$G$3:$G$102,$B$3)</f>
        <v>0</v>
      </c>
    </row>
  </sheetData>
  <mergeCells count="2">
    <mergeCell ref="A1:H1"/>
    <mergeCell ref="A2:H2"/>
  </mergeCells>
  <conditionalFormatting sqref="B6:C10">
    <cfRule type="dataBar" priority="2">
      <dataBar showValue="1" minLength="10" maxLength="90">
        <cfvo type="min" val="0"/>
        <cfvo type="max" val="0"/>
        <color rgb="FF4C7A47"/>
      </dataBar>
      <extLst>
        <ext xmlns:x14="http://schemas.microsoft.com/office/spreadsheetml/2009/9/main" uri="{B025F937-C7B1-47D3-B67F-A62EFF666E3E}">
          <x14:id>{AC403CBD-DBE9-4841-A75F-9984AB843A51}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403CBD-DBE9-4841-A75F-9984AB843A51}">
            <x14:dataBar minLength="10" maxLength="90" axisPosition="none" gradient="true">
              <x14:cfvo type="min"/>
              <x14:cfvo type="max"/>
              <x14:negativeFillColor rgb="FF4C7A47"/>
              <x14:axisColor rgb="FF000000"/>
            </x14:dataBar>
          </x14:cfRule>
          <xm:sqref>B6:C10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0"/>
  </cols>
  <sheetData>
    <row r="1" customFormat="false" ht="16.15" hidden="false" customHeight="false" outlineLevel="0" collapsed="false">
      <c r="A1" s="1" t="s">
        <v>108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4" t="s">
        <v>63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6" t="s">
        <v>105</v>
      </c>
      <c r="B3" s="15" t="n">
        <v>2026</v>
      </c>
    </row>
    <row r="5" customFormat="false" ht="15" hidden="false" customHeight="false" outlineLevel="0" collapsed="false">
      <c r="A5" s="11" t="s">
        <v>38</v>
      </c>
      <c r="B5" s="11" t="s">
        <v>106</v>
      </c>
      <c r="C5" s="11" t="s">
        <v>107</v>
      </c>
    </row>
    <row r="6" customFormat="false" ht="15" hidden="false" customHeight="false" outlineLevel="0" collapsed="false">
      <c r="A6" s="10" t="s">
        <v>22</v>
      </c>
      <c r="B6" s="9" t="n">
        <f aca="false">SUMIFS(Transactions!$E$3:$E$102,Transactions!$B$3:$B$102,"Expense",Transactions!$C$3:$C$102,"Cost of Goods")</f>
        <v>0</v>
      </c>
      <c r="C6" s="9" t="n">
        <f aca="false">SUMIFS(Transactions!$E$3:$E$102,Transactions!$B$3:$B$102,"Expense",Transactions!$C$3:$C$102,"Cost of Goods",Transactions!$G$3:$G$102,$B$3)</f>
        <v>0</v>
      </c>
    </row>
    <row r="7" customFormat="false" ht="15" hidden="false" customHeight="false" outlineLevel="0" collapsed="false">
      <c r="A7" s="10" t="s">
        <v>24</v>
      </c>
      <c r="B7" s="9" t="n">
        <f aca="false">SUMIFS(Transactions!$E$3:$E$102,Transactions!$B$3:$B$102,"Expense",Transactions!$C$3:$C$102,"Shipping Costs")</f>
        <v>0</v>
      </c>
      <c r="C7" s="9" t="n">
        <f aca="false">SUMIFS(Transactions!$E$3:$E$102,Transactions!$B$3:$B$102,"Expense",Transactions!$C$3:$C$102,"Shipping Costs",Transactions!$G$3:$G$102,$B$3)</f>
        <v>0</v>
      </c>
    </row>
    <row r="8" customFormat="false" ht="15" hidden="false" customHeight="false" outlineLevel="0" collapsed="false">
      <c r="A8" s="10" t="s">
        <v>26</v>
      </c>
      <c r="B8" s="9" t="n">
        <f aca="false">SUMIFS(Transactions!$E$3:$E$102,Transactions!$B$3:$B$102,"Expense",Transactions!$C$3:$C$102,"Marketing")</f>
        <v>0</v>
      </c>
      <c r="C8" s="9" t="n">
        <f aca="false">SUMIFS(Transactions!$E$3:$E$102,Transactions!$B$3:$B$102,"Expense",Transactions!$C$3:$C$102,"Marketing",Transactions!$G$3:$G$102,$B$3)</f>
        <v>0</v>
      </c>
    </row>
    <row r="9" customFormat="false" ht="15" hidden="false" customHeight="false" outlineLevel="0" collapsed="false">
      <c r="A9" s="10" t="s">
        <v>28</v>
      </c>
      <c r="B9" s="9" t="n">
        <f aca="false">SUMIFS(Transactions!$E$3:$E$102,Transactions!$B$3:$B$102,"Expense",Transactions!$C$3:$C$102,"Software &amp; Tools")</f>
        <v>0</v>
      </c>
      <c r="C9" s="9" t="n">
        <f aca="false">SUMIFS(Transactions!$E$3:$E$102,Transactions!$B$3:$B$102,"Expense",Transactions!$C$3:$C$102,"Software &amp; Tools",Transactions!$G$3:$G$102,$B$3)</f>
        <v>0</v>
      </c>
    </row>
    <row r="10" customFormat="false" ht="15" hidden="false" customHeight="false" outlineLevel="0" collapsed="false">
      <c r="A10" s="10" t="s">
        <v>30</v>
      </c>
      <c r="B10" s="9" t="n">
        <f aca="false">SUMIFS(Transactions!$E$3:$E$102,Transactions!$B$3:$B$102,"Expense",Transactions!$C$3:$C$102,"Fees &amp; Commissions")</f>
        <v>0</v>
      </c>
      <c r="C10" s="9" t="n">
        <f aca="false">SUMIFS(Transactions!$E$3:$E$102,Transactions!$B$3:$B$102,"Expense",Transactions!$C$3:$C$102,"Fees &amp; Commissions",Transactions!$G$3:$G$102,$B$3)</f>
        <v>0</v>
      </c>
    </row>
    <row r="11" customFormat="false" ht="15" hidden="false" customHeight="false" outlineLevel="0" collapsed="false">
      <c r="A11" s="10" t="s">
        <v>31</v>
      </c>
      <c r="B11" s="9" t="n">
        <f aca="false">SUMIFS(Transactions!$E$3:$E$102,Transactions!$B$3:$B$102,"Expense",Transactions!$C$3:$C$102,"Office Supplies")</f>
        <v>0</v>
      </c>
      <c r="C11" s="9" t="n">
        <f aca="false">SUMIFS(Transactions!$E$3:$E$102,Transactions!$B$3:$B$102,"Expense",Transactions!$C$3:$C$102,"Office Supplies",Transactions!$G$3:$G$102,$B$3)</f>
        <v>0</v>
      </c>
    </row>
    <row r="12" customFormat="false" ht="15" hidden="false" customHeight="false" outlineLevel="0" collapsed="false">
      <c r="A12" s="10" t="s">
        <v>32</v>
      </c>
      <c r="B12" s="9" t="n">
        <f aca="false">SUMIFS(Transactions!$E$3:$E$102,Transactions!$B$3:$B$102,"Expense",Transactions!$C$3:$C$102,"Rent")</f>
        <v>0</v>
      </c>
      <c r="C12" s="9" t="n">
        <f aca="false">SUMIFS(Transactions!$E$3:$E$102,Transactions!$B$3:$B$102,"Expense",Transactions!$C$3:$C$102,"Rent",Transactions!$G$3:$G$102,$B$3)</f>
        <v>0</v>
      </c>
    </row>
    <row r="13" customFormat="false" ht="15" hidden="false" customHeight="false" outlineLevel="0" collapsed="false">
      <c r="A13" s="10" t="s">
        <v>33</v>
      </c>
      <c r="B13" s="9" t="n">
        <f aca="false">SUMIFS(Transactions!$E$3:$E$102,Transactions!$B$3:$B$102,"Expense",Transactions!$C$3:$C$102,"Utilities")</f>
        <v>0</v>
      </c>
      <c r="C13" s="9" t="n">
        <f aca="false">SUMIFS(Transactions!$E$3:$E$102,Transactions!$B$3:$B$102,"Expense",Transactions!$C$3:$C$102,"Utilities",Transactions!$G$3:$G$102,$B$3)</f>
        <v>0</v>
      </c>
    </row>
    <row r="14" customFormat="false" ht="15" hidden="false" customHeight="false" outlineLevel="0" collapsed="false">
      <c r="A14" s="10" t="s">
        <v>34</v>
      </c>
      <c r="B14" s="9" t="n">
        <f aca="false">SUMIFS(Transactions!$E$3:$E$102,Transactions!$B$3:$B$102,"Expense",Transactions!$C$3:$C$102,"Other Expense")</f>
        <v>0</v>
      </c>
      <c r="C14" s="9" t="n">
        <f aca="false">SUMIFS(Transactions!$E$3:$E$102,Transactions!$B$3:$B$102,"Expense",Transactions!$C$3:$C$102,"Other Expense",Transactions!$G$3:$G$102,$B$3)</f>
        <v>0</v>
      </c>
    </row>
  </sheetData>
  <mergeCells count="2">
    <mergeCell ref="A1:H1"/>
    <mergeCell ref="A2:H2"/>
  </mergeCells>
  <conditionalFormatting sqref="B6:C14">
    <cfRule type="dataBar" priority="2">
      <dataBar showValue="1" minLength="10" maxLength="90">
        <cfvo type="min" val="0"/>
        <cfvo type="max" val="0"/>
        <color rgb="FFC0504D"/>
      </dataBar>
      <extLst>
        <ext xmlns:x14="http://schemas.microsoft.com/office/spreadsheetml/2009/9/main" uri="{B025F937-C7B1-47D3-B67F-A62EFF666E3E}">
          <x14:id>{A572D43F-A089-4310-AEED-F4F2A5D9BCDF}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72D43F-A089-4310-AEED-F4F2A5D9BCDF}">
            <x14:dataBar minLength="10" maxLength="90" axisPosition="none" gradient="true">
              <x14:cfvo type="min"/>
              <x14:cfvo type="max"/>
              <x14:negativeFillColor rgb="FFC0504D"/>
              <x14:axisColor rgb="FF000000"/>
            </x14:dataBar>
          </x14:cfRule>
          <xm:sqref>B6:C14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1" style="0" width="15"/>
  </cols>
  <sheetData>
    <row r="1" customFormat="false" ht="16.15" hidden="false" customHeight="false" outlineLevel="0" collapsed="false">
      <c r="A1" s="1" t="s">
        <v>109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4" t="s">
        <v>110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6" t="s">
        <v>111</v>
      </c>
      <c r="B3" s="15" t="n">
        <v>2024</v>
      </c>
      <c r="C3" s="27" t="s">
        <v>112</v>
      </c>
    </row>
    <row r="5" customFormat="false" ht="26.85" hidden="false" customHeight="false" outlineLevel="0" collapsed="false">
      <c r="A5" s="11" t="s">
        <v>42</v>
      </c>
      <c r="B5" s="11" t="s">
        <v>73</v>
      </c>
      <c r="C5" s="11" t="s">
        <v>74</v>
      </c>
      <c r="D5" s="11" t="s">
        <v>78</v>
      </c>
      <c r="E5" s="11" t="s">
        <v>67</v>
      </c>
      <c r="F5" s="11" t="s">
        <v>113</v>
      </c>
      <c r="G5" s="11" t="s">
        <v>49</v>
      </c>
    </row>
    <row r="6" customFormat="false" ht="15" hidden="false" customHeight="false" outlineLevel="0" collapsed="false">
      <c r="A6" s="10" t="n">
        <f aca="false">$B$3</f>
        <v>2024</v>
      </c>
      <c r="B6" s="9" t="n">
        <f aca="false">SUMIFS(Transactions!$E$3:$E$102,Transactions!$B$3:$B$102,"Income",Transactions!$G$3:$G$102,A6)</f>
        <v>0</v>
      </c>
      <c r="C6" s="9" t="n">
        <f aca="false">SUMIFS(Transactions!$E$3:$E$102,Transactions!$B$3:$B$102,"Expense",Transactions!$G$3:$G$102,A6)</f>
        <v>0</v>
      </c>
      <c r="D6" s="9" t="n">
        <f aca="false">B6-C6</f>
        <v>0</v>
      </c>
      <c r="E6" s="28" t="n">
        <f aca="false">IFERROR(D6/B6,0)</f>
        <v>0</v>
      </c>
      <c r="F6" s="9" t="n">
        <f aca="false">SUMIFS(Transactions!$F$3:$F$102,Transactions!$G$3:$G$102,A6)</f>
        <v>0</v>
      </c>
      <c r="G6" s="10" t="str">
        <f aca="false">"n/a"</f>
        <v>n/a</v>
      </c>
    </row>
    <row r="7" customFormat="false" ht="15" hidden="false" customHeight="false" outlineLevel="0" collapsed="false">
      <c r="A7" s="10" t="n">
        <f aca="false">A6+1</f>
        <v>2025</v>
      </c>
      <c r="B7" s="9" t="n">
        <f aca="false">SUMIFS(Transactions!$E$3:$E$102,Transactions!$B$3:$B$102,"Income",Transactions!$G$3:$G$102,A7)</f>
        <v>0</v>
      </c>
      <c r="C7" s="9" t="n">
        <f aca="false">SUMIFS(Transactions!$E$3:$E$102,Transactions!$B$3:$B$102,"Expense",Transactions!$G$3:$G$102,A7)</f>
        <v>0</v>
      </c>
      <c r="D7" s="9" t="n">
        <f aca="false">B7-C7</f>
        <v>0</v>
      </c>
      <c r="E7" s="28" t="n">
        <f aca="false">IFERROR(D7/B7,0)</f>
        <v>0</v>
      </c>
      <c r="F7" s="9" t="n">
        <f aca="false">SUMIFS(Transactions!$F$3:$F$102,Transactions!$G$3:$G$102,A7)</f>
        <v>0</v>
      </c>
      <c r="G7" s="28" t="n">
        <f aca="false">IFERROR((B7-B6)/B6,0)</f>
        <v>0</v>
      </c>
    </row>
    <row r="8" customFormat="false" ht="15" hidden="false" customHeight="false" outlineLevel="0" collapsed="false">
      <c r="A8" s="10" t="n">
        <f aca="false">A7+1</f>
        <v>2026</v>
      </c>
      <c r="B8" s="9" t="n">
        <f aca="false">SUMIFS(Transactions!$E$3:$E$102,Transactions!$B$3:$B$102,"Income",Transactions!$G$3:$G$102,A8)</f>
        <v>0</v>
      </c>
      <c r="C8" s="9" t="n">
        <f aca="false">SUMIFS(Transactions!$E$3:$E$102,Transactions!$B$3:$B$102,"Expense",Transactions!$G$3:$G$102,A8)</f>
        <v>0</v>
      </c>
      <c r="D8" s="9" t="n">
        <f aca="false">B8-C8</f>
        <v>0</v>
      </c>
      <c r="E8" s="28" t="n">
        <f aca="false">IFERROR(D8/B8,0)</f>
        <v>0</v>
      </c>
      <c r="F8" s="9" t="n">
        <f aca="false">SUMIFS(Transactions!$F$3:$F$102,Transactions!$G$3:$G$102,A8)</f>
        <v>0</v>
      </c>
      <c r="G8" s="28" t="n">
        <f aca="false">IFERROR((B8-B7)/B7,0)</f>
        <v>0</v>
      </c>
    </row>
    <row r="9" customFormat="false" ht="15" hidden="false" customHeight="false" outlineLevel="0" collapsed="false">
      <c r="A9" s="10" t="n">
        <f aca="false">A8+1</f>
        <v>2027</v>
      </c>
      <c r="B9" s="9" t="n">
        <f aca="false">SUMIFS(Transactions!$E$3:$E$102,Transactions!$B$3:$B$102,"Income",Transactions!$G$3:$G$102,A9)</f>
        <v>0</v>
      </c>
      <c r="C9" s="9" t="n">
        <f aca="false">SUMIFS(Transactions!$E$3:$E$102,Transactions!$B$3:$B$102,"Expense",Transactions!$G$3:$G$102,A9)</f>
        <v>0</v>
      </c>
      <c r="D9" s="9" t="n">
        <f aca="false">B9-C9</f>
        <v>0</v>
      </c>
      <c r="E9" s="28" t="n">
        <f aca="false">IFERROR(D9/B9,0)</f>
        <v>0</v>
      </c>
      <c r="F9" s="9" t="n">
        <f aca="false">SUMIFS(Transactions!$F$3:$F$102,Transactions!$G$3:$G$102,A9)</f>
        <v>0</v>
      </c>
      <c r="G9" s="28" t="n">
        <f aca="false">IFERROR((B9-B8)/B8,0)</f>
        <v>0</v>
      </c>
    </row>
    <row r="10" customFormat="false" ht="15" hidden="false" customHeight="false" outlineLevel="0" collapsed="false">
      <c r="A10" s="10" t="n">
        <f aca="false">A9+1</f>
        <v>2028</v>
      </c>
      <c r="B10" s="9" t="n">
        <f aca="false">SUMIFS(Transactions!$E$3:$E$102,Transactions!$B$3:$B$102,"Income",Transactions!$G$3:$G$102,A10)</f>
        <v>0</v>
      </c>
      <c r="C10" s="9" t="n">
        <f aca="false">SUMIFS(Transactions!$E$3:$E$102,Transactions!$B$3:$B$102,"Expense",Transactions!$G$3:$G$102,A10)</f>
        <v>0</v>
      </c>
      <c r="D10" s="9" t="n">
        <f aca="false">B10-C10</f>
        <v>0</v>
      </c>
      <c r="E10" s="28" t="n">
        <f aca="false">IFERROR(D10/B10,0)</f>
        <v>0</v>
      </c>
      <c r="F10" s="9" t="n">
        <f aca="false">SUMIFS(Transactions!$F$3:$F$102,Transactions!$G$3:$G$102,A10)</f>
        <v>0</v>
      </c>
      <c r="G10" s="28" t="n">
        <f aca="false">IFERROR((B10-B9)/B9,0)</f>
        <v>0</v>
      </c>
    </row>
    <row r="11" customFormat="false" ht="15" hidden="false" customHeight="false" outlineLevel="0" collapsed="false">
      <c r="A11" s="10" t="n">
        <f aca="false">A10+1</f>
        <v>2029</v>
      </c>
      <c r="B11" s="9" t="n">
        <f aca="false">SUMIFS(Transactions!$E$3:$E$102,Transactions!$B$3:$B$102,"Income",Transactions!$G$3:$G$102,A11)</f>
        <v>0</v>
      </c>
      <c r="C11" s="9" t="n">
        <f aca="false">SUMIFS(Transactions!$E$3:$E$102,Transactions!$B$3:$B$102,"Expense",Transactions!$G$3:$G$102,A11)</f>
        <v>0</v>
      </c>
      <c r="D11" s="9" t="n">
        <f aca="false">B11-C11</f>
        <v>0</v>
      </c>
      <c r="E11" s="28" t="n">
        <f aca="false">IFERROR(D11/B11,0)</f>
        <v>0</v>
      </c>
      <c r="F11" s="9" t="n">
        <f aca="false">SUMIFS(Transactions!$F$3:$F$102,Transactions!$G$3:$G$102,A11)</f>
        <v>0</v>
      </c>
      <c r="G11" s="28" t="n">
        <f aca="false">IFERROR((B11-B10)/B10,0)</f>
        <v>0</v>
      </c>
    </row>
    <row r="12" customFormat="false" ht="15" hidden="false" customHeight="false" outlineLevel="0" collapsed="false">
      <c r="A12" s="10" t="n">
        <f aca="false">A11+1</f>
        <v>2030</v>
      </c>
      <c r="B12" s="9" t="n">
        <f aca="false">SUMIFS(Transactions!$E$3:$E$102,Transactions!$B$3:$B$102,"Income",Transactions!$G$3:$G$102,A12)</f>
        <v>0</v>
      </c>
      <c r="C12" s="9" t="n">
        <f aca="false">SUMIFS(Transactions!$E$3:$E$102,Transactions!$B$3:$B$102,"Expense",Transactions!$G$3:$G$102,A12)</f>
        <v>0</v>
      </c>
      <c r="D12" s="9" t="n">
        <f aca="false">B12-C12</f>
        <v>0</v>
      </c>
      <c r="E12" s="28" t="n">
        <f aca="false">IFERROR(D12/B12,0)</f>
        <v>0</v>
      </c>
      <c r="F12" s="9" t="n">
        <f aca="false">SUMIFS(Transactions!$F$3:$F$102,Transactions!$G$3:$G$102,A12)</f>
        <v>0</v>
      </c>
      <c r="G12" s="28" t="n">
        <f aca="false">IFERROR((B12-B11)/B11,0)</f>
        <v>0</v>
      </c>
    </row>
    <row r="13" customFormat="false" ht="15" hidden="false" customHeight="false" outlineLevel="0" collapsed="false">
      <c r="A13" s="10" t="n">
        <f aca="false">A12+1</f>
        <v>2031</v>
      </c>
      <c r="B13" s="9" t="n">
        <f aca="false">SUMIFS(Transactions!$E$3:$E$102,Transactions!$B$3:$B$102,"Income",Transactions!$G$3:$G$102,A13)</f>
        <v>0</v>
      </c>
      <c r="C13" s="9" t="n">
        <f aca="false">SUMIFS(Transactions!$E$3:$E$102,Transactions!$B$3:$B$102,"Expense",Transactions!$G$3:$G$102,A13)</f>
        <v>0</v>
      </c>
      <c r="D13" s="9" t="n">
        <f aca="false">B13-C13</f>
        <v>0</v>
      </c>
      <c r="E13" s="28" t="n">
        <f aca="false">IFERROR(D13/B13,0)</f>
        <v>0</v>
      </c>
      <c r="F13" s="9" t="n">
        <f aca="false">SUMIFS(Transactions!$F$3:$F$102,Transactions!$G$3:$G$102,A13)</f>
        <v>0</v>
      </c>
      <c r="G13" s="28" t="n">
        <f aca="false">IFERROR((B13-B12)/B12,0)</f>
        <v>0</v>
      </c>
    </row>
    <row r="14" customFormat="false" ht="15" hidden="false" customHeight="false" outlineLevel="0" collapsed="false">
      <c r="A14" s="10" t="n">
        <f aca="false">A13+1</f>
        <v>2032</v>
      </c>
      <c r="B14" s="9" t="n">
        <f aca="false">SUMIFS(Transactions!$E$3:$E$102,Transactions!$B$3:$B$102,"Income",Transactions!$G$3:$G$102,A14)</f>
        <v>0</v>
      </c>
      <c r="C14" s="9" t="n">
        <f aca="false">SUMIFS(Transactions!$E$3:$E$102,Transactions!$B$3:$B$102,"Expense",Transactions!$G$3:$G$102,A14)</f>
        <v>0</v>
      </c>
      <c r="D14" s="9" t="n">
        <f aca="false">B14-C14</f>
        <v>0</v>
      </c>
      <c r="E14" s="28" t="n">
        <f aca="false">IFERROR(D14/B14,0)</f>
        <v>0</v>
      </c>
      <c r="F14" s="9" t="n">
        <f aca="false">SUMIFS(Transactions!$F$3:$F$102,Transactions!$G$3:$G$102,A14)</f>
        <v>0</v>
      </c>
      <c r="G14" s="28" t="n">
        <f aca="false">IFERROR((B14-B13)/B13,0)</f>
        <v>0</v>
      </c>
    </row>
    <row r="15" customFormat="false" ht="15" hidden="false" customHeight="false" outlineLevel="0" collapsed="false">
      <c r="A15" s="10" t="n">
        <f aca="false">A14+1</f>
        <v>2033</v>
      </c>
      <c r="B15" s="9" t="n">
        <f aca="false">SUMIFS(Transactions!$E$3:$E$102,Transactions!$B$3:$B$102,"Income",Transactions!$G$3:$G$102,A15)</f>
        <v>0</v>
      </c>
      <c r="C15" s="9" t="n">
        <f aca="false">SUMIFS(Transactions!$E$3:$E$102,Transactions!$B$3:$B$102,"Expense",Transactions!$G$3:$G$102,A15)</f>
        <v>0</v>
      </c>
      <c r="D15" s="9" t="n">
        <f aca="false">B15-C15</f>
        <v>0</v>
      </c>
      <c r="E15" s="28" t="n">
        <f aca="false">IFERROR(D15/B15,0)</f>
        <v>0</v>
      </c>
      <c r="F15" s="9" t="n">
        <f aca="false">SUMIFS(Transactions!$F$3:$F$102,Transactions!$G$3:$G$102,A15)</f>
        <v>0</v>
      </c>
      <c r="G15" s="28" t="n">
        <f aca="false">IFERROR((B15-B14)/B14,0)</f>
        <v>0</v>
      </c>
    </row>
  </sheetData>
  <mergeCells count="2">
    <mergeCell ref="A1:H1"/>
    <mergeCell ref="A2:H2"/>
  </mergeCells>
  <conditionalFormatting sqref="G7:G1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6"/>
  </cols>
  <sheetData>
    <row r="1" customFormat="false" ht="16.15" hidden="false" customHeight="false" outlineLevel="0" collapsed="false">
      <c r="A1" s="1" t="s">
        <v>114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4" t="s">
        <v>63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6" t="s">
        <v>42</v>
      </c>
      <c r="B3" s="15" t="n">
        <v>2026</v>
      </c>
    </row>
    <row r="5" customFormat="false" ht="15" hidden="false" customHeight="false" outlineLevel="0" collapsed="false">
      <c r="A5" s="11" t="s">
        <v>43</v>
      </c>
      <c r="B5" s="11" t="s">
        <v>113</v>
      </c>
    </row>
    <row r="6" customFormat="false" ht="15" hidden="false" customHeight="false" outlineLevel="0" collapsed="false">
      <c r="A6" s="10" t="s">
        <v>87</v>
      </c>
      <c r="B6" s="9" t="n">
        <f aca="false">SUMIFS(Transactions!$F$3:$F$102,Transactions!$G$3:$G$102,$B$3,Transactions!$H$3:$H$102,1)</f>
        <v>0</v>
      </c>
    </row>
    <row r="7" customFormat="false" ht="15" hidden="false" customHeight="false" outlineLevel="0" collapsed="false">
      <c r="A7" s="10" t="s">
        <v>88</v>
      </c>
      <c r="B7" s="9" t="n">
        <f aca="false">SUMIFS(Transactions!$F$3:$F$102,Transactions!$G$3:$G$102,$B$3,Transactions!$H$3:$H$102,2)</f>
        <v>0</v>
      </c>
    </row>
    <row r="8" customFormat="false" ht="15" hidden="false" customHeight="false" outlineLevel="0" collapsed="false">
      <c r="A8" s="10" t="s">
        <v>89</v>
      </c>
      <c r="B8" s="9" t="n">
        <f aca="false">SUMIFS(Transactions!$F$3:$F$102,Transactions!$G$3:$G$102,$B$3,Transactions!$H$3:$H$102,3)</f>
        <v>0</v>
      </c>
    </row>
    <row r="9" customFormat="false" ht="15" hidden="false" customHeight="false" outlineLevel="0" collapsed="false">
      <c r="A9" s="10" t="s">
        <v>90</v>
      </c>
      <c r="B9" s="9" t="n">
        <f aca="false">SUMIFS(Transactions!$F$3:$F$102,Transactions!$G$3:$G$102,$B$3,Transactions!$H$3:$H$102,4)</f>
        <v>0</v>
      </c>
    </row>
    <row r="10" customFormat="false" ht="15" hidden="false" customHeight="false" outlineLevel="0" collapsed="false">
      <c r="A10" s="10" t="s">
        <v>91</v>
      </c>
      <c r="B10" s="9" t="n">
        <f aca="false">SUMIFS(Transactions!$F$3:$F$102,Transactions!$G$3:$G$102,$B$3,Transactions!$H$3:$H$102,5)</f>
        <v>0</v>
      </c>
    </row>
    <row r="11" customFormat="false" ht="15" hidden="false" customHeight="false" outlineLevel="0" collapsed="false">
      <c r="A11" s="10" t="s">
        <v>92</v>
      </c>
      <c r="B11" s="9" t="n">
        <f aca="false">SUMIFS(Transactions!$F$3:$F$102,Transactions!$G$3:$G$102,$B$3,Transactions!$H$3:$H$102,6)</f>
        <v>0</v>
      </c>
    </row>
    <row r="12" customFormat="false" ht="15" hidden="false" customHeight="false" outlineLevel="0" collapsed="false">
      <c r="A12" s="10" t="s">
        <v>93</v>
      </c>
      <c r="B12" s="9" t="n">
        <f aca="false">SUMIFS(Transactions!$F$3:$F$102,Transactions!$G$3:$G$102,$B$3,Transactions!$H$3:$H$102,7)</f>
        <v>0</v>
      </c>
    </row>
    <row r="13" customFormat="false" ht="15" hidden="false" customHeight="false" outlineLevel="0" collapsed="false">
      <c r="A13" s="10" t="s">
        <v>94</v>
      </c>
      <c r="B13" s="9" t="n">
        <f aca="false">SUMIFS(Transactions!$F$3:$F$102,Transactions!$G$3:$G$102,$B$3,Transactions!$H$3:$H$102,8)</f>
        <v>0</v>
      </c>
    </row>
    <row r="14" customFormat="false" ht="15" hidden="false" customHeight="false" outlineLevel="0" collapsed="false">
      <c r="A14" s="10" t="s">
        <v>95</v>
      </c>
      <c r="B14" s="9" t="n">
        <f aca="false">SUMIFS(Transactions!$F$3:$F$102,Transactions!$G$3:$G$102,$B$3,Transactions!$H$3:$H$102,9)</f>
        <v>0</v>
      </c>
    </row>
    <row r="15" customFormat="false" ht="15" hidden="false" customHeight="false" outlineLevel="0" collapsed="false">
      <c r="A15" s="10" t="s">
        <v>96</v>
      </c>
      <c r="B15" s="9" t="n">
        <f aca="false">SUMIFS(Transactions!$F$3:$F$102,Transactions!$G$3:$G$102,$B$3,Transactions!$H$3:$H$102,10)</f>
        <v>0</v>
      </c>
    </row>
    <row r="16" customFormat="false" ht="15" hidden="false" customHeight="false" outlineLevel="0" collapsed="false">
      <c r="A16" s="10" t="s">
        <v>97</v>
      </c>
      <c r="B16" s="9" t="n">
        <f aca="false">SUMIFS(Transactions!$F$3:$F$102,Transactions!$G$3:$G$102,$B$3,Transactions!$H$3:$H$102,11)</f>
        <v>0</v>
      </c>
    </row>
    <row r="17" customFormat="false" ht="15" hidden="false" customHeight="false" outlineLevel="0" collapsed="false">
      <c r="A17" s="10" t="s">
        <v>98</v>
      </c>
      <c r="B17" s="9" t="n">
        <f aca="false">SUMIFS(Transactions!$F$3:$F$102,Transactions!$G$3:$G$102,$B$3,Transactions!$H$3:$H$102,12)</f>
        <v>0</v>
      </c>
    </row>
    <row r="18" customFormat="false" ht="15" hidden="false" customHeight="false" outlineLevel="0" collapsed="false">
      <c r="A18" s="29" t="s">
        <v>115</v>
      </c>
      <c r="B18" s="30" t="n">
        <f aca="false">SUM(B6:B17)</f>
        <v>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20"/>
  </cols>
  <sheetData>
    <row r="1" customFormat="false" ht="16.15" hidden="false" customHeight="false" outlineLevel="0" collapsed="false">
      <c r="A1" s="1" t="s">
        <v>116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4" t="s">
        <v>63</v>
      </c>
      <c r="B2" s="4"/>
      <c r="C2" s="4"/>
      <c r="D2" s="4"/>
      <c r="E2" s="4"/>
      <c r="F2" s="4"/>
      <c r="G2" s="4"/>
      <c r="H2" s="4"/>
    </row>
    <row r="3" customFormat="false" ht="27.75" hidden="false" customHeight="true" outlineLevel="0" collapsed="false">
      <c r="A3" s="16" t="s">
        <v>117</v>
      </c>
      <c r="B3" s="16" t="s">
        <v>118</v>
      </c>
    </row>
    <row r="4" customFormat="false" ht="24" hidden="false" customHeight="true" outlineLevel="0" collapsed="false">
      <c r="A4" s="17" t="n">
        <f aca="false">Setup!$B$7</f>
        <v>0</v>
      </c>
      <c r="B4" s="17" t="n">
        <f aca="false">Setup!$B$7+SUMIFS(Transactions!$E$3:$E$102,Transactions!$B$3:$B$102,"Income")-SUMIFS(Transactions!$E$3:$E$102,Transactions!$B$3:$B$102,"Expense")</f>
        <v>0</v>
      </c>
    </row>
    <row r="7" customFormat="false" ht="15" hidden="false" customHeight="false" outlineLevel="0" collapsed="false">
      <c r="A7" s="6" t="s">
        <v>119</v>
      </c>
    </row>
    <row r="8" customFormat="false" ht="15" hidden="false" customHeight="false" outlineLevel="0" collapsed="false">
      <c r="A8" s="10" t="s">
        <v>120</v>
      </c>
      <c r="B8" s="31" t="n">
        <f aca="true">TODAY()</f>
        <v>46248</v>
      </c>
    </row>
    <row r="9" customFormat="false" ht="15" hidden="false" customHeight="false" outlineLevel="0" collapsed="false">
      <c r="A9" s="10" t="s">
        <v>121</v>
      </c>
      <c r="B9" s="8" t="n">
        <v>0</v>
      </c>
    </row>
    <row r="10" customFormat="false" ht="15" hidden="false" customHeight="false" outlineLevel="0" collapsed="false">
      <c r="A10" s="10" t="s">
        <v>122</v>
      </c>
      <c r="B10" s="9" t="n">
        <f aca="false">Setup!$B$7+SUMIFS(Transactions!$E$3:$E$102,Transactions!$B$3:$B$102,"Income",Transactions!$A$3:$A$102,"&lt;="&amp;$B$8)-SUMIFS(Transactions!$E$3:$E$102,Transactions!$B$3:$B$102,"Expense",Transactions!$A$3:$A$102,"&lt;="&amp;$B$8)</f>
        <v>0</v>
      </c>
    </row>
    <row r="11" customFormat="false" ht="15" hidden="false" customHeight="false" outlineLevel="0" collapsed="false">
      <c r="A11" s="29" t="s">
        <v>123</v>
      </c>
      <c r="B11" s="30" t="n">
        <f aca="false">B9-B10</f>
        <v>0</v>
      </c>
    </row>
    <row r="13" customFormat="false" ht="15" hidden="false" customHeight="false" outlineLevel="0" collapsed="false">
      <c r="A13" s="6" t="s">
        <v>124</v>
      </c>
      <c r="C13" s="6" t="s">
        <v>42</v>
      </c>
      <c r="D13" s="15" t="n">
        <v>2026</v>
      </c>
    </row>
    <row r="14" customFormat="false" ht="15" hidden="false" customHeight="false" outlineLevel="0" collapsed="false">
      <c r="A14" s="11" t="s">
        <v>43</v>
      </c>
      <c r="B14" s="11" t="s">
        <v>125</v>
      </c>
    </row>
    <row r="15" customFormat="false" ht="15" hidden="false" customHeight="false" outlineLevel="0" collapsed="false">
      <c r="A15" s="10" t="s">
        <v>87</v>
      </c>
      <c r="B15" s="9" t="n">
        <f aca="false">Setup!$B$7+SUMIFS(Transactions!$E$3:$E$102,Transactions!$B$3:$B$102,"Income",Transactions!$A$3:$A$102,"&lt;="&amp;(DATE($D$13,1+1,1)-1))-SUMIFS(Transactions!$E$3:$E$102,Transactions!$B$3:$B$102,"Expense",Transactions!$A$3:$A$102,"&lt;="&amp;(DATE($D$13,1+1,1)-1))</f>
        <v>0</v>
      </c>
    </row>
    <row r="16" customFormat="false" ht="15" hidden="false" customHeight="false" outlineLevel="0" collapsed="false">
      <c r="A16" s="10" t="s">
        <v>88</v>
      </c>
      <c r="B16" s="9" t="n">
        <f aca="false">Setup!$B$7+SUMIFS(Transactions!$E$3:$E$102,Transactions!$B$3:$B$102,"Income",Transactions!$A$3:$A$102,"&lt;="&amp;(DATE($D$13,2+1,1)-1))-SUMIFS(Transactions!$E$3:$E$102,Transactions!$B$3:$B$102,"Expense",Transactions!$A$3:$A$102,"&lt;="&amp;(DATE($D$13,2+1,1)-1))</f>
        <v>0</v>
      </c>
    </row>
    <row r="17" customFormat="false" ht="15" hidden="false" customHeight="false" outlineLevel="0" collapsed="false">
      <c r="A17" s="10" t="s">
        <v>89</v>
      </c>
      <c r="B17" s="9" t="n">
        <f aca="false">Setup!$B$7+SUMIFS(Transactions!$E$3:$E$102,Transactions!$B$3:$B$102,"Income",Transactions!$A$3:$A$102,"&lt;="&amp;(DATE($D$13,3+1,1)-1))-SUMIFS(Transactions!$E$3:$E$102,Transactions!$B$3:$B$102,"Expense",Transactions!$A$3:$A$102,"&lt;="&amp;(DATE($D$13,3+1,1)-1))</f>
        <v>0</v>
      </c>
    </row>
    <row r="18" customFormat="false" ht="15" hidden="false" customHeight="false" outlineLevel="0" collapsed="false">
      <c r="A18" s="10" t="s">
        <v>90</v>
      </c>
      <c r="B18" s="9" t="n">
        <f aca="false">Setup!$B$7+SUMIFS(Transactions!$E$3:$E$102,Transactions!$B$3:$B$102,"Income",Transactions!$A$3:$A$102,"&lt;="&amp;(DATE($D$13,4+1,1)-1))-SUMIFS(Transactions!$E$3:$E$102,Transactions!$B$3:$B$102,"Expense",Transactions!$A$3:$A$102,"&lt;="&amp;(DATE($D$13,4+1,1)-1))</f>
        <v>0</v>
      </c>
    </row>
    <row r="19" customFormat="false" ht="15" hidden="false" customHeight="false" outlineLevel="0" collapsed="false">
      <c r="A19" s="10" t="s">
        <v>91</v>
      </c>
      <c r="B19" s="9" t="n">
        <f aca="false">Setup!$B$7+SUMIFS(Transactions!$E$3:$E$102,Transactions!$B$3:$B$102,"Income",Transactions!$A$3:$A$102,"&lt;="&amp;(DATE($D$13,5+1,1)-1))-SUMIFS(Transactions!$E$3:$E$102,Transactions!$B$3:$B$102,"Expense",Transactions!$A$3:$A$102,"&lt;="&amp;(DATE($D$13,5+1,1)-1))</f>
        <v>0</v>
      </c>
    </row>
    <row r="20" customFormat="false" ht="15" hidden="false" customHeight="false" outlineLevel="0" collapsed="false">
      <c r="A20" s="10" t="s">
        <v>92</v>
      </c>
      <c r="B20" s="9" t="n">
        <f aca="false">Setup!$B$7+SUMIFS(Transactions!$E$3:$E$102,Transactions!$B$3:$B$102,"Income",Transactions!$A$3:$A$102,"&lt;="&amp;(DATE($D$13,6+1,1)-1))-SUMIFS(Transactions!$E$3:$E$102,Transactions!$B$3:$B$102,"Expense",Transactions!$A$3:$A$102,"&lt;="&amp;(DATE($D$13,6+1,1)-1))</f>
        <v>0</v>
      </c>
    </row>
    <row r="21" customFormat="false" ht="15" hidden="false" customHeight="false" outlineLevel="0" collapsed="false">
      <c r="A21" s="10" t="s">
        <v>93</v>
      </c>
      <c r="B21" s="9" t="n">
        <f aca="false">Setup!$B$7+SUMIFS(Transactions!$E$3:$E$102,Transactions!$B$3:$B$102,"Income",Transactions!$A$3:$A$102,"&lt;="&amp;(DATE($D$13,7+1,1)-1))-SUMIFS(Transactions!$E$3:$E$102,Transactions!$B$3:$B$102,"Expense",Transactions!$A$3:$A$102,"&lt;="&amp;(DATE($D$13,7+1,1)-1))</f>
        <v>0</v>
      </c>
    </row>
    <row r="22" customFormat="false" ht="15" hidden="false" customHeight="false" outlineLevel="0" collapsed="false">
      <c r="A22" s="10" t="s">
        <v>94</v>
      </c>
      <c r="B22" s="9" t="n">
        <f aca="false">Setup!$B$7+SUMIFS(Transactions!$E$3:$E$102,Transactions!$B$3:$B$102,"Income",Transactions!$A$3:$A$102,"&lt;="&amp;(DATE($D$13,8+1,1)-1))-SUMIFS(Transactions!$E$3:$E$102,Transactions!$B$3:$B$102,"Expense",Transactions!$A$3:$A$102,"&lt;="&amp;(DATE($D$13,8+1,1)-1))</f>
        <v>0</v>
      </c>
    </row>
    <row r="23" customFormat="false" ht="15" hidden="false" customHeight="false" outlineLevel="0" collapsed="false">
      <c r="A23" s="10" t="s">
        <v>95</v>
      </c>
      <c r="B23" s="9" t="n">
        <f aca="false">Setup!$B$7+SUMIFS(Transactions!$E$3:$E$102,Transactions!$B$3:$B$102,"Income",Transactions!$A$3:$A$102,"&lt;="&amp;(DATE($D$13,9+1,1)-1))-SUMIFS(Transactions!$E$3:$E$102,Transactions!$B$3:$B$102,"Expense",Transactions!$A$3:$A$102,"&lt;="&amp;(DATE($D$13,9+1,1)-1))</f>
        <v>0</v>
      </c>
    </row>
    <row r="24" customFormat="false" ht="15" hidden="false" customHeight="false" outlineLevel="0" collapsed="false">
      <c r="A24" s="10" t="s">
        <v>96</v>
      </c>
      <c r="B24" s="9" t="n">
        <f aca="false">Setup!$B$7+SUMIFS(Transactions!$E$3:$E$102,Transactions!$B$3:$B$102,"Income",Transactions!$A$3:$A$102,"&lt;="&amp;(DATE($D$13,10+1,1)-1))-SUMIFS(Transactions!$E$3:$E$102,Transactions!$B$3:$B$102,"Expense",Transactions!$A$3:$A$102,"&lt;="&amp;(DATE($D$13,10+1,1)-1))</f>
        <v>0</v>
      </c>
    </row>
    <row r="25" customFormat="false" ht="15" hidden="false" customHeight="false" outlineLevel="0" collapsed="false">
      <c r="A25" s="10" t="s">
        <v>97</v>
      </c>
      <c r="B25" s="9" t="n">
        <f aca="false">Setup!$B$7+SUMIFS(Transactions!$E$3:$E$102,Transactions!$B$3:$B$102,"Income",Transactions!$A$3:$A$102,"&lt;="&amp;(DATE($D$13,11+1,1)-1))-SUMIFS(Transactions!$E$3:$E$102,Transactions!$B$3:$B$102,"Expense",Transactions!$A$3:$A$102,"&lt;="&amp;(DATE($D$13,11+1,1)-1))</f>
        <v>0</v>
      </c>
    </row>
    <row r="26" customFormat="false" ht="15" hidden="false" customHeight="false" outlineLevel="0" collapsed="false">
      <c r="A26" s="10" t="s">
        <v>98</v>
      </c>
      <c r="B26" s="9" t="n">
        <f aca="false">Setup!$B$7+SUMIFS(Transactions!$E$3:$E$102,Transactions!$B$3:$B$102,"Income",Transactions!$A$3:$A$102,"&lt;="&amp;(DATE($D$13,12+1,1)-1))-SUMIFS(Transactions!$E$3:$E$102,Transactions!$B$3:$B$102,"Expense",Transactions!$A$3:$A$102,"&lt;="&amp;(DATE($D$13,12+1,1)-1))</f>
        <v>0</v>
      </c>
    </row>
  </sheetData>
  <mergeCells count="2">
    <mergeCell ref="A1:H1"/>
    <mergeCell ref="A2:H2"/>
  </mergeCells>
  <conditionalFormatting sqref="B11">
    <cfRule type="expression" priority="2" aboveAverage="0" equalAverage="0" bottom="0" percent="0" rank="0" text="" dxfId="0">
      <formula>B11=0</formula>
    </cfRule>
    <cfRule type="expression" priority="3" aboveAverage="0" equalAverage="0" bottom="0" percent="0" rank="0" text="" dxfId="1">
      <formula>B11&lt;&gt;0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4" min="2" style="0" width="10"/>
  </cols>
  <sheetData>
    <row r="1" customFormat="false" ht="16.15" hidden="false" customHeight="false" outlineLevel="0" collapsed="false">
      <c r="A1" s="1" t="s">
        <v>126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4" t="s">
        <v>127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6" t="s">
        <v>42</v>
      </c>
      <c r="B3" s="15" t="n">
        <v>2026</v>
      </c>
    </row>
    <row r="5" customFormat="false" ht="15" hidden="false" customHeight="false" outlineLevel="0" collapsed="false">
      <c r="A5" s="11" t="s">
        <v>38</v>
      </c>
      <c r="B5" s="11" t="s">
        <v>37</v>
      </c>
      <c r="C5" s="11" t="s">
        <v>87</v>
      </c>
      <c r="D5" s="11" t="s">
        <v>88</v>
      </c>
      <c r="E5" s="11" t="s">
        <v>89</v>
      </c>
      <c r="F5" s="11" t="s">
        <v>90</v>
      </c>
      <c r="G5" s="11" t="s">
        <v>91</v>
      </c>
      <c r="H5" s="11" t="s">
        <v>92</v>
      </c>
      <c r="I5" s="11" t="s">
        <v>93</v>
      </c>
      <c r="J5" s="11" t="s">
        <v>94</v>
      </c>
      <c r="K5" s="11" t="s">
        <v>95</v>
      </c>
      <c r="L5" s="11" t="s">
        <v>96</v>
      </c>
      <c r="M5" s="11" t="s">
        <v>97</v>
      </c>
      <c r="N5" s="11" t="s">
        <v>98</v>
      </c>
    </row>
    <row r="6" customFormat="false" ht="15" hidden="false" customHeight="false" outlineLevel="0" collapsed="false">
      <c r="A6" s="10" t="s">
        <v>21</v>
      </c>
      <c r="B6" s="10" t="s">
        <v>73</v>
      </c>
      <c r="C6" s="9" t="n">
        <f aca="false">SUMIFS(Transactions!$E$3:$E$102,Transactions!$B$3:$B$102,"Income",Transactions!$C$3:$C$102,"Sales Revenue",Transactions!$G$3:$G$102,$B$3,Transactions!$H$3:$H$102,1)</f>
        <v>0</v>
      </c>
      <c r="D6" s="9" t="n">
        <f aca="false">SUMIFS(Transactions!$E$3:$E$102,Transactions!$B$3:$B$102,"Income",Transactions!$C$3:$C$102,"Sales Revenue",Transactions!$G$3:$G$102,$B$3,Transactions!$H$3:$H$102,2)</f>
        <v>0</v>
      </c>
      <c r="E6" s="9" t="n">
        <f aca="false">SUMIFS(Transactions!$E$3:$E$102,Transactions!$B$3:$B$102,"Income",Transactions!$C$3:$C$102,"Sales Revenue",Transactions!$G$3:$G$102,$B$3,Transactions!$H$3:$H$102,3)</f>
        <v>0</v>
      </c>
      <c r="F6" s="9" t="n">
        <f aca="false">SUMIFS(Transactions!$E$3:$E$102,Transactions!$B$3:$B$102,"Income",Transactions!$C$3:$C$102,"Sales Revenue",Transactions!$G$3:$G$102,$B$3,Transactions!$H$3:$H$102,4)</f>
        <v>0</v>
      </c>
      <c r="G6" s="9" t="n">
        <f aca="false">SUMIFS(Transactions!$E$3:$E$102,Transactions!$B$3:$B$102,"Income",Transactions!$C$3:$C$102,"Sales Revenue",Transactions!$G$3:$G$102,$B$3,Transactions!$H$3:$H$102,5)</f>
        <v>0</v>
      </c>
      <c r="H6" s="9" t="n">
        <f aca="false">SUMIFS(Transactions!$E$3:$E$102,Transactions!$B$3:$B$102,"Income",Transactions!$C$3:$C$102,"Sales Revenue",Transactions!$G$3:$G$102,$B$3,Transactions!$H$3:$H$102,6)</f>
        <v>0</v>
      </c>
      <c r="I6" s="9" t="n">
        <f aca="false">SUMIFS(Transactions!$E$3:$E$102,Transactions!$B$3:$B$102,"Income",Transactions!$C$3:$C$102,"Sales Revenue",Transactions!$G$3:$G$102,$B$3,Transactions!$H$3:$H$102,7)</f>
        <v>0</v>
      </c>
      <c r="J6" s="9" t="n">
        <f aca="false">SUMIFS(Transactions!$E$3:$E$102,Transactions!$B$3:$B$102,"Income",Transactions!$C$3:$C$102,"Sales Revenue",Transactions!$G$3:$G$102,$B$3,Transactions!$H$3:$H$102,8)</f>
        <v>0</v>
      </c>
      <c r="K6" s="9" t="n">
        <f aca="false">SUMIFS(Transactions!$E$3:$E$102,Transactions!$B$3:$B$102,"Income",Transactions!$C$3:$C$102,"Sales Revenue",Transactions!$G$3:$G$102,$B$3,Transactions!$H$3:$H$102,9)</f>
        <v>0</v>
      </c>
      <c r="L6" s="9" t="n">
        <f aca="false">SUMIFS(Transactions!$E$3:$E$102,Transactions!$B$3:$B$102,"Income",Transactions!$C$3:$C$102,"Sales Revenue",Transactions!$G$3:$G$102,$B$3,Transactions!$H$3:$H$102,10)</f>
        <v>0</v>
      </c>
      <c r="M6" s="9" t="n">
        <f aca="false">SUMIFS(Transactions!$E$3:$E$102,Transactions!$B$3:$B$102,"Income",Transactions!$C$3:$C$102,"Sales Revenue",Transactions!$G$3:$G$102,$B$3,Transactions!$H$3:$H$102,11)</f>
        <v>0</v>
      </c>
      <c r="N6" s="9" t="n">
        <f aca="false">SUMIFS(Transactions!$E$3:$E$102,Transactions!$B$3:$B$102,"Income",Transactions!$C$3:$C$102,"Sales Revenue",Transactions!$G$3:$G$102,$B$3,Transactions!$H$3:$H$102,12)</f>
        <v>0</v>
      </c>
    </row>
    <row r="7" customFormat="false" ht="15" hidden="false" customHeight="false" outlineLevel="0" collapsed="false">
      <c r="A7" s="10" t="s">
        <v>23</v>
      </c>
      <c r="B7" s="10" t="s">
        <v>73</v>
      </c>
      <c r="C7" s="9" t="n">
        <f aca="false">SUMIFS(Transactions!$E$3:$E$102,Transactions!$B$3:$B$102,"Income",Transactions!$C$3:$C$102,"Shipping Income",Transactions!$G$3:$G$102,$B$3,Transactions!$H$3:$H$102,1)</f>
        <v>0</v>
      </c>
      <c r="D7" s="9" t="n">
        <f aca="false">SUMIFS(Transactions!$E$3:$E$102,Transactions!$B$3:$B$102,"Income",Transactions!$C$3:$C$102,"Shipping Income",Transactions!$G$3:$G$102,$B$3,Transactions!$H$3:$H$102,2)</f>
        <v>0</v>
      </c>
      <c r="E7" s="9" t="n">
        <f aca="false">SUMIFS(Transactions!$E$3:$E$102,Transactions!$B$3:$B$102,"Income",Transactions!$C$3:$C$102,"Shipping Income",Transactions!$G$3:$G$102,$B$3,Transactions!$H$3:$H$102,3)</f>
        <v>0</v>
      </c>
      <c r="F7" s="9" t="n">
        <f aca="false">SUMIFS(Transactions!$E$3:$E$102,Transactions!$B$3:$B$102,"Income",Transactions!$C$3:$C$102,"Shipping Income",Transactions!$G$3:$G$102,$B$3,Transactions!$H$3:$H$102,4)</f>
        <v>0</v>
      </c>
      <c r="G7" s="9" t="n">
        <f aca="false">SUMIFS(Transactions!$E$3:$E$102,Transactions!$B$3:$B$102,"Income",Transactions!$C$3:$C$102,"Shipping Income",Transactions!$G$3:$G$102,$B$3,Transactions!$H$3:$H$102,5)</f>
        <v>0</v>
      </c>
      <c r="H7" s="9" t="n">
        <f aca="false">SUMIFS(Transactions!$E$3:$E$102,Transactions!$B$3:$B$102,"Income",Transactions!$C$3:$C$102,"Shipping Income",Transactions!$G$3:$G$102,$B$3,Transactions!$H$3:$H$102,6)</f>
        <v>0</v>
      </c>
      <c r="I7" s="9" t="n">
        <f aca="false">SUMIFS(Transactions!$E$3:$E$102,Transactions!$B$3:$B$102,"Income",Transactions!$C$3:$C$102,"Shipping Income",Transactions!$G$3:$G$102,$B$3,Transactions!$H$3:$H$102,7)</f>
        <v>0</v>
      </c>
      <c r="J7" s="9" t="n">
        <f aca="false">SUMIFS(Transactions!$E$3:$E$102,Transactions!$B$3:$B$102,"Income",Transactions!$C$3:$C$102,"Shipping Income",Transactions!$G$3:$G$102,$B$3,Transactions!$H$3:$H$102,8)</f>
        <v>0</v>
      </c>
      <c r="K7" s="9" t="n">
        <f aca="false">SUMIFS(Transactions!$E$3:$E$102,Transactions!$B$3:$B$102,"Income",Transactions!$C$3:$C$102,"Shipping Income",Transactions!$G$3:$G$102,$B$3,Transactions!$H$3:$H$102,9)</f>
        <v>0</v>
      </c>
      <c r="L7" s="9" t="n">
        <f aca="false">SUMIFS(Transactions!$E$3:$E$102,Transactions!$B$3:$B$102,"Income",Transactions!$C$3:$C$102,"Shipping Income",Transactions!$G$3:$G$102,$B$3,Transactions!$H$3:$H$102,10)</f>
        <v>0</v>
      </c>
      <c r="M7" s="9" t="n">
        <f aca="false">SUMIFS(Transactions!$E$3:$E$102,Transactions!$B$3:$B$102,"Income",Transactions!$C$3:$C$102,"Shipping Income",Transactions!$G$3:$G$102,$B$3,Transactions!$H$3:$H$102,11)</f>
        <v>0</v>
      </c>
      <c r="N7" s="9" t="n">
        <f aca="false">SUMIFS(Transactions!$E$3:$E$102,Transactions!$B$3:$B$102,"Income",Transactions!$C$3:$C$102,"Shipping Income",Transactions!$G$3:$G$102,$B$3,Transactions!$H$3:$H$102,12)</f>
        <v>0</v>
      </c>
    </row>
    <row r="8" customFormat="false" ht="15" hidden="false" customHeight="false" outlineLevel="0" collapsed="false">
      <c r="A8" s="10" t="s">
        <v>25</v>
      </c>
      <c r="B8" s="10" t="s">
        <v>73</v>
      </c>
      <c r="C8" s="9" t="n">
        <f aca="false">SUMIFS(Transactions!$E$3:$E$102,Transactions!$B$3:$B$102,"Income",Transactions!$C$3:$C$102,"Custom Orders",Transactions!$G$3:$G$102,$B$3,Transactions!$H$3:$H$102,1)</f>
        <v>0</v>
      </c>
      <c r="D8" s="9" t="n">
        <f aca="false">SUMIFS(Transactions!$E$3:$E$102,Transactions!$B$3:$B$102,"Income",Transactions!$C$3:$C$102,"Custom Orders",Transactions!$G$3:$G$102,$B$3,Transactions!$H$3:$H$102,2)</f>
        <v>0</v>
      </c>
      <c r="E8" s="9" t="n">
        <f aca="false">SUMIFS(Transactions!$E$3:$E$102,Transactions!$B$3:$B$102,"Income",Transactions!$C$3:$C$102,"Custom Orders",Transactions!$G$3:$G$102,$B$3,Transactions!$H$3:$H$102,3)</f>
        <v>0</v>
      </c>
      <c r="F8" s="9" t="n">
        <f aca="false">SUMIFS(Transactions!$E$3:$E$102,Transactions!$B$3:$B$102,"Income",Transactions!$C$3:$C$102,"Custom Orders",Transactions!$G$3:$G$102,$B$3,Transactions!$H$3:$H$102,4)</f>
        <v>0</v>
      </c>
      <c r="G8" s="9" t="n">
        <f aca="false">SUMIFS(Transactions!$E$3:$E$102,Transactions!$B$3:$B$102,"Income",Transactions!$C$3:$C$102,"Custom Orders",Transactions!$G$3:$G$102,$B$3,Transactions!$H$3:$H$102,5)</f>
        <v>0</v>
      </c>
      <c r="H8" s="9" t="n">
        <f aca="false">SUMIFS(Transactions!$E$3:$E$102,Transactions!$B$3:$B$102,"Income",Transactions!$C$3:$C$102,"Custom Orders",Transactions!$G$3:$G$102,$B$3,Transactions!$H$3:$H$102,6)</f>
        <v>0</v>
      </c>
      <c r="I8" s="9" t="n">
        <f aca="false">SUMIFS(Transactions!$E$3:$E$102,Transactions!$B$3:$B$102,"Income",Transactions!$C$3:$C$102,"Custom Orders",Transactions!$G$3:$G$102,$B$3,Transactions!$H$3:$H$102,7)</f>
        <v>0</v>
      </c>
      <c r="J8" s="9" t="n">
        <f aca="false">SUMIFS(Transactions!$E$3:$E$102,Transactions!$B$3:$B$102,"Income",Transactions!$C$3:$C$102,"Custom Orders",Transactions!$G$3:$G$102,$B$3,Transactions!$H$3:$H$102,8)</f>
        <v>0</v>
      </c>
      <c r="K8" s="9" t="n">
        <f aca="false">SUMIFS(Transactions!$E$3:$E$102,Transactions!$B$3:$B$102,"Income",Transactions!$C$3:$C$102,"Custom Orders",Transactions!$G$3:$G$102,$B$3,Transactions!$H$3:$H$102,9)</f>
        <v>0</v>
      </c>
      <c r="L8" s="9" t="n">
        <f aca="false">SUMIFS(Transactions!$E$3:$E$102,Transactions!$B$3:$B$102,"Income",Transactions!$C$3:$C$102,"Custom Orders",Transactions!$G$3:$G$102,$B$3,Transactions!$H$3:$H$102,10)</f>
        <v>0</v>
      </c>
      <c r="M8" s="9" t="n">
        <f aca="false">SUMIFS(Transactions!$E$3:$E$102,Transactions!$B$3:$B$102,"Income",Transactions!$C$3:$C$102,"Custom Orders",Transactions!$G$3:$G$102,$B$3,Transactions!$H$3:$H$102,11)</f>
        <v>0</v>
      </c>
      <c r="N8" s="9" t="n">
        <f aca="false">SUMIFS(Transactions!$E$3:$E$102,Transactions!$B$3:$B$102,"Income",Transactions!$C$3:$C$102,"Custom Orders",Transactions!$G$3:$G$102,$B$3,Transactions!$H$3:$H$102,12)</f>
        <v>0</v>
      </c>
    </row>
    <row r="9" customFormat="false" ht="15" hidden="false" customHeight="false" outlineLevel="0" collapsed="false">
      <c r="A9" s="10" t="s">
        <v>27</v>
      </c>
      <c r="B9" s="10" t="s">
        <v>73</v>
      </c>
      <c r="C9" s="9" t="n">
        <f aca="false">SUMIFS(Transactions!$E$3:$E$102,Transactions!$B$3:$B$102,"Income",Transactions!$C$3:$C$102,"Wholesale",Transactions!$G$3:$G$102,$B$3,Transactions!$H$3:$H$102,1)</f>
        <v>0</v>
      </c>
      <c r="D9" s="9" t="n">
        <f aca="false">SUMIFS(Transactions!$E$3:$E$102,Transactions!$B$3:$B$102,"Income",Transactions!$C$3:$C$102,"Wholesale",Transactions!$G$3:$G$102,$B$3,Transactions!$H$3:$H$102,2)</f>
        <v>0</v>
      </c>
      <c r="E9" s="9" t="n">
        <f aca="false">SUMIFS(Transactions!$E$3:$E$102,Transactions!$B$3:$B$102,"Income",Transactions!$C$3:$C$102,"Wholesale",Transactions!$G$3:$G$102,$B$3,Transactions!$H$3:$H$102,3)</f>
        <v>0</v>
      </c>
      <c r="F9" s="9" t="n">
        <f aca="false">SUMIFS(Transactions!$E$3:$E$102,Transactions!$B$3:$B$102,"Income",Transactions!$C$3:$C$102,"Wholesale",Transactions!$G$3:$G$102,$B$3,Transactions!$H$3:$H$102,4)</f>
        <v>0</v>
      </c>
      <c r="G9" s="9" t="n">
        <f aca="false">SUMIFS(Transactions!$E$3:$E$102,Transactions!$B$3:$B$102,"Income",Transactions!$C$3:$C$102,"Wholesale",Transactions!$G$3:$G$102,$B$3,Transactions!$H$3:$H$102,5)</f>
        <v>0</v>
      </c>
      <c r="H9" s="9" t="n">
        <f aca="false">SUMIFS(Transactions!$E$3:$E$102,Transactions!$B$3:$B$102,"Income",Transactions!$C$3:$C$102,"Wholesale",Transactions!$G$3:$G$102,$B$3,Transactions!$H$3:$H$102,6)</f>
        <v>0</v>
      </c>
      <c r="I9" s="9" t="n">
        <f aca="false">SUMIFS(Transactions!$E$3:$E$102,Transactions!$B$3:$B$102,"Income",Transactions!$C$3:$C$102,"Wholesale",Transactions!$G$3:$G$102,$B$3,Transactions!$H$3:$H$102,7)</f>
        <v>0</v>
      </c>
      <c r="J9" s="9" t="n">
        <f aca="false">SUMIFS(Transactions!$E$3:$E$102,Transactions!$B$3:$B$102,"Income",Transactions!$C$3:$C$102,"Wholesale",Transactions!$G$3:$G$102,$B$3,Transactions!$H$3:$H$102,8)</f>
        <v>0</v>
      </c>
      <c r="K9" s="9" t="n">
        <f aca="false">SUMIFS(Transactions!$E$3:$E$102,Transactions!$B$3:$B$102,"Income",Transactions!$C$3:$C$102,"Wholesale",Transactions!$G$3:$G$102,$B$3,Transactions!$H$3:$H$102,9)</f>
        <v>0</v>
      </c>
      <c r="L9" s="9" t="n">
        <f aca="false">SUMIFS(Transactions!$E$3:$E$102,Transactions!$B$3:$B$102,"Income",Transactions!$C$3:$C$102,"Wholesale",Transactions!$G$3:$G$102,$B$3,Transactions!$H$3:$H$102,10)</f>
        <v>0</v>
      </c>
      <c r="M9" s="9" t="n">
        <f aca="false">SUMIFS(Transactions!$E$3:$E$102,Transactions!$B$3:$B$102,"Income",Transactions!$C$3:$C$102,"Wholesale",Transactions!$G$3:$G$102,$B$3,Transactions!$H$3:$H$102,11)</f>
        <v>0</v>
      </c>
      <c r="N9" s="9" t="n">
        <f aca="false">SUMIFS(Transactions!$E$3:$E$102,Transactions!$B$3:$B$102,"Income",Transactions!$C$3:$C$102,"Wholesale",Transactions!$G$3:$G$102,$B$3,Transactions!$H$3:$H$102,12)</f>
        <v>0</v>
      </c>
    </row>
    <row r="10" customFormat="false" ht="15" hidden="false" customHeight="false" outlineLevel="0" collapsed="false">
      <c r="A10" s="10" t="s">
        <v>29</v>
      </c>
      <c r="B10" s="10" t="s">
        <v>73</v>
      </c>
      <c r="C10" s="9" t="n">
        <f aca="false">SUMIFS(Transactions!$E$3:$E$102,Transactions!$B$3:$B$102,"Income",Transactions!$C$3:$C$102,"Other Income",Transactions!$G$3:$G$102,$B$3,Transactions!$H$3:$H$102,1)</f>
        <v>0</v>
      </c>
      <c r="D10" s="9" t="n">
        <f aca="false">SUMIFS(Transactions!$E$3:$E$102,Transactions!$B$3:$B$102,"Income",Transactions!$C$3:$C$102,"Other Income",Transactions!$G$3:$G$102,$B$3,Transactions!$H$3:$H$102,2)</f>
        <v>0</v>
      </c>
      <c r="E10" s="9" t="n">
        <f aca="false">SUMIFS(Transactions!$E$3:$E$102,Transactions!$B$3:$B$102,"Income",Transactions!$C$3:$C$102,"Other Income",Transactions!$G$3:$G$102,$B$3,Transactions!$H$3:$H$102,3)</f>
        <v>0</v>
      </c>
      <c r="F10" s="9" t="n">
        <f aca="false">SUMIFS(Transactions!$E$3:$E$102,Transactions!$B$3:$B$102,"Income",Transactions!$C$3:$C$102,"Other Income",Transactions!$G$3:$G$102,$B$3,Transactions!$H$3:$H$102,4)</f>
        <v>0</v>
      </c>
      <c r="G10" s="9" t="n">
        <f aca="false">SUMIFS(Transactions!$E$3:$E$102,Transactions!$B$3:$B$102,"Income",Transactions!$C$3:$C$102,"Other Income",Transactions!$G$3:$G$102,$B$3,Transactions!$H$3:$H$102,5)</f>
        <v>0</v>
      </c>
      <c r="H10" s="9" t="n">
        <f aca="false">SUMIFS(Transactions!$E$3:$E$102,Transactions!$B$3:$B$102,"Income",Transactions!$C$3:$C$102,"Other Income",Transactions!$G$3:$G$102,$B$3,Transactions!$H$3:$H$102,6)</f>
        <v>0</v>
      </c>
      <c r="I10" s="9" t="n">
        <f aca="false">SUMIFS(Transactions!$E$3:$E$102,Transactions!$B$3:$B$102,"Income",Transactions!$C$3:$C$102,"Other Income",Transactions!$G$3:$G$102,$B$3,Transactions!$H$3:$H$102,7)</f>
        <v>0</v>
      </c>
      <c r="J10" s="9" t="n">
        <f aca="false">SUMIFS(Transactions!$E$3:$E$102,Transactions!$B$3:$B$102,"Income",Transactions!$C$3:$C$102,"Other Income",Transactions!$G$3:$G$102,$B$3,Transactions!$H$3:$H$102,8)</f>
        <v>0</v>
      </c>
      <c r="K10" s="9" t="n">
        <f aca="false">SUMIFS(Transactions!$E$3:$E$102,Transactions!$B$3:$B$102,"Income",Transactions!$C$3:$C$102,"Other Income",Transactions!$G$3:$G$102,$B$3,Transactions!$H$3:$H$102,9)</f>
        <v>0</v>
      </c>
      <c r="L10" s="9" t="n">
        <f aca="false">SUMIFS(Transactions!$E$3:$E$102,Transactions!$B$3:$B$102,"Income",Transactions!$C$3:$C$102,"Other Income",Transactions!$G$3:$G$102,$B$3,Transactions!$H$3:$H$102,10)</f>
        <v>0</v>
      </c>
      <c r="M10" s="9" t="n">
        <f aca="false">SUMIFS(Transactions!$E$3:$E$102,Transactions!$B$3:$B$102,"Income",Transactions!$C$3:$C$102,"Other Income",Transactions!$G$3:$G$102,$B$3,Transactions!$H$3:$H$102,11)</f>
        <v>0</v>
      </c>
      <c r="N10" s="9" t="n">
        <f aca="false">SUMIFS(Transactions!$E$3:$E$102,Transactions!$B$3:$B$102,"Income",Transactions!$C$3:$C$102,"Other Income",Transactions!$G$3:$G$102,$B$3,Transactions!$H$3:$H$102,12)</f>
        <v>0</v>
      </c>
    </row>
    <row r="11" customFormat="false" ht="15" hidden="false" customHeight="false" outlineLevel="0" collapsed="false">
      <c r="A11" s="10" t="s">
        <v>22</v>
      </c>
      <c r="B11" s="10" t="s">
        <v>128</v>
      </c>
      <c r="C11" s="9" t="n">
        <f aca="false">SUMIFS(Transactions!$E$3:$E$102,Transactions!$B$3:$B$102,"Expense",Transactions!$C$3:$C$102,"Cost of Goods",Transactions!$G$3:$G$102,$B$3,Transactions!$H$3:$H$102,1)</f>
        <v>0</v>
      </c>
      <c r="D11" s="9" t="n">
        <f aca="false">SUMIFS(Transactions!$E$3:$E$102,Transactions!$B$3:$B$102,"Expense",Transactions!$C$3:$C$102,"Cost of Goods",Transactions!$G$3:$G$102,$B$3,Transactions!$H$3:$H$102,2)</f>
        <v>0</v>
      </c>
      <c r="E11" s="9" t="n">
        <f aca="false">SUMIFS(Transactions!$E$3:$E$102,Transactions!$B$3:$B$102,"Expense",Transactions!$C$3:$C$102,"Cost of Goods",Transactions!$G$3:$G$102,$B$3,Transactions!$H$3:$H$102,3)</f>
        <v>0</v>
      </c>
      <c r="F11" s="9" t="n">
        <f aca="false">SUMIFS(Transactions!$E$3:$E$102,Transactions!$B$3:$B$102,"Expense",Transactions!$C$3:$C$102,"Cost of Goods",Transactions!$G$3:$G$102,$B$3,Transactions!$H$3:$H$102,4)</f>
        <v>0</v>
      </c>
      <c r="G11" s="9" t="n">
        <f aca="false">SUMIFS(Transactions!$E$3:$E$102,Transactions!$B$3:$B$102,"Expense",Transactions!$C$3:$C$102,"Cost of Goods",Transactions!$G$3:$G$102,$B$3,Transactions!$H$3:$H$102,5)</f>
        <v>0</v>
      </c>
      <c r="H11" s="9" t="n">
        <f aca="false">SUMIFS(Transactions!$E$3:$E$102,Transactions!$B$3:$B$102,"Expense",Transactions!$C$3:$C$102,"Cost of Goods",Transactions!$G$3:$G$102,$B$3,Transactions!$H$3:$H$102,6)</f>
        <v>0</v>
      </c>
      <c r="I11" s="9" t="n">
        <f aca="false">SUMIFS(Transactions!$E$3:$E$102,Transactions!$B$3:$B$102,"Expense",Transactions!$C$3:$C$102,"Cost of Goods",Transactions!$G$3:$G$102,$B$3,Transactions!$H$3:$H$102,7)</f>
        <v>0</v>
      </c>
      <c r="J11" s="9" t="n">
        <f aca="false">SUMIFS(Transactions!$E$3:$E$102,Transactions!$B$3:$B$102,"Expense",Transactions!$C$3:$C$102,"Cost of Goods",Transactions!$G$3:$G$102,$B$3,Transactions!$H$3:$H$102,8)</f>
        <v>0</v>
      </c>
      <c r="K11" s="9" t="n">
        <f aca="false">SUMIFS(Transactions!$E$3:$E$102,Transactions!$B$3:$B$102,"Expense",Transactions!$C$3:$C$102,"Cost of Goods",Transactions!$G$3:$G$102,$B$3,Transactions!$H$3:$H$102,9)</f>
        <v>0</v>
      </c>
      <c r="L11" s="9" t="n">
        <f aca="false">SUMIFS(Transactions!$E$3:$E$102,Transactions!$B$3:$B$102,"Expense",Transactions!$C$3:$C$102,"Cost of Goods",Transactions!$G$3:$G$102,$B$3,Transactions!$H$3:$H$102,10)</f>
        <v>0</v>
      </c>
      <c r="M11" s="9" t="n">
        <f aca="false">SUMIFS(Transactions!$E$3:$E$102,Transactions!$B$3:$B$102,"Expense",Transactions!$C$3:$C$102,"Cost of Goods",Transactions!$G$3:$G$102,$B$3,Transactions!$H$3:$H$102,11)</f>
        <v>0</v>
      </c>
      <c r="N11" s="9" t="n">
        <f aca="false">SUMIFS(Transactions!$E$3:$E$102,Transactions!$B$3:$B$102,"Expense",Transactions!$C$3:$C$102,"Cost of Goods",Transactions!$G$3:$G$102,$B$3,Transactions!$H$3:$H$102,12)</f>
        <v>0</v>
      </c>
    </row>
    <row r="12" customFormat="false" ht="15" hidden="false" customHeight="false" outlineLevel="0" collapsed="false">
      <c r="A12" s="10" t="s">
        <v>24</v>
      </c>
      <c r="B12" s="10" t="s">
        <v>128</v>
      </c>
      <c r="C12" s="9" t="n">
        <f aca="false">SUMIFS(Transactions!$E$3:$E$102,Transactions!$B$3:$B$102,"Expense",Transactions!$C$3:$C$102,"Shipping Costs",Transactions!$G$3:$G$102,$B$3,Transactions!$H$3:$H$102,1)</f>
        <v>0</v>
      </c>
      <c r="D12" s="9" t="n">
        <f aca="false">SUMIFS(Transactions!$E$3:$E$102,Transactions!$B$3:$B$102,"Expense",Transactions!$C$3:$C$102,"Shipping Costs",Transactions!$G$3:$G$102,$B$3,Transactions!$H$3:$H$102,2)</f>
        <v>0</v>
      </c>
      <c r="E12" s="9" t="n">
        <f aca="false">SUMIFS(Transactions!$E$3:$E$102,Transactions!$B$3:$B$102,"Expense",Transactions!$C$3:$C$102,"Shipping Costs",Transactions!$G$3:$G$102,$B$3,Transactions!$H$3:$H$102,3)</f>
        <v>0</v>
      </c>
      <c r="F12" s="9" t="n">
        <f aca="false">SUMIFS(Transactions!$E$3:$E$102,Transactions!$B$3:$B$102,"Expense",Transactions!$C$3:$C$102,"Shipping Costs",Transactions!$G$3:$G$102,$B$3,Transactions!$H$3:$H$102,4)</f>
        <v>0</v>
      </c>
      <c r="G12" s="9" t="n">
        <f aca="false">SUMIFS(Transactions!$E$3:$E$102,Transactions!$B$3:$B$102,"Expense",Transactions!$C$3:$C$102,"Shipping Costs",Transactions!$G$3:$G$102,$B$3,Transactions!$H$3:$H$102,5)</f>
        <v>0</v>
      </c>
      <c r="H12" s="9" t="n">
        <f aca="false">SUMIFS(Transactions!$E$3:$E$102,Transactions!$B$3:$B$102,"Expense",Transactions!$C$3:$C$102,"Shipping Costs",Transactions!$G$3:$G$102,$B$3,Transactions!$H$3:$H$102,6)</f>
        <v>0</v>
      </c>
      <c r="I12" s="9" t="n">
        <f aca="false">SUMIFS(Transactions!$E$3:$E$102,Transactions!$B$3:$B$102,"Expense",Transactions!$C$3:$C$102,"Shipping Costs",Transactions!$G$3:$G$102,$B$3,Transactions!$H$3:$H$102,7)</f>
        <v>0</v>
      </c>
      <c r="J12" s="9" t="n">
        <f aca="false">SUMIFS(Transactions!$E$3:$E$102,Transactions!$B$3:$B$102,"Expense",Transactions!$C$3:$C$102,"Shipping Costs",Transactions!$G$3:$G$102,$B$3,Transactions!$H$3:$H$102,8)</f>
        <v>0</v>
      </c>
      <c r="K12" s="9" t="n">
        <f aca="false">SUMIFS(Transactions!$E$3:$E$102,Transactions!$B$3:$B$102,"Expense",Transactions!$C$3:$C$102,"Shipping Costs",Transactions!$G$3:$G$102,$B$3,Transactions!$H$3:$H$102,9)</f>
        <v>0</v>
      </c>
      <c r="L12" s="9" t="n">
        <f aca="false">SUMIFS(Transactions!$E$3:$E$102,Transactions!$B$3:$B$102,"Expense",Transactions!$C$3:$C$102,"Shipping Costs",Transactions!$G$3:$G$102,$B$3,Transactions!$H$3:$H$102,10)</f>
        <v>0</v>
      </c>
      <c r="M12" s="9" t="n">
        <f aca="false">SUMIFS(Transactions!$E$3:$E$102,Transactions!$B$3:$B$102,"Expense",Transactions!$C$3:$C$102,"Shipping Costs",Transactions!$G$3:$G$102,$B$3,Transactions!$H$3:$H$102,11)</f>
        <v>0</v>
      </c>
      <c r="N12" s="9" t="n">
        <f aca="false">SUMIFS(Transactions!$E$3:$E$102,Transactions!$B$3:$B$102,"Expense",Transactions!$C$3:$C$102,"Shipping Costs",Transactions!$G$3:$G$102,$B$3,Transactions!$H$3:$H$102,12)</f>
        <v>0</v>
      </c>
    </row>
    <row r="13" customFormat="false" ht="15" hidden="false" customHeight="false" outlineLevel="0" collapsed="false">
      <c r="A13" s="10" t="s">
        <v>26</v>
      </c>
      <c r="B13" s="10" t="s">
        <v>128</v>
      </c>
      <c r="C13" s="9" t="n">
        <f aca="false">SUMIFS(Transactions!$E$3:$E$102,Transactions!$B$3:$B$102,"Expense",Transactions!$C$3:$C$102,"Marketing",Transactions!$G$3:$G$102,$B$3,Transactions!$H$3:$H$102,1)</f>
        <v>0</v>
      </c>
      <c r="D13" s="9" t="n">
        <f aca="false">SUMIFS(Transactions!$E$3:$E$102,Transactions!$B$3:$B$102,"Expense",Transactions!$C$3:$C$102,"Marketing",Transactions!$G$3:$G$102,$B$3,Transactions!$H$3:$H$102,2)</f>
        <v>0</v>
      </c>
      <c r="E13" s="9" t="n">
        <f aca="false">SUMIFS(Transactions!$E$3:$E$102,Transactions!$B$3:$B$102,"Expense",Transactions!$C$3:$C$102,"Marketing",Transactions!$G$3:$G$102,$B$3,Transactions!$H$3:$H$102,3)</f>
        <v>0</v>
      </c>
      <c r="F13" s="9" t="n">
        <f aca="false">SUMIFS(Transactions!$E$3:$E$102,Transactions!$B$3:$B$102,"Expense",Transactions!$C$3:$C$102,"Marketing",Transactions!$G$3:$G$102,$B$3,Transactions!$H$3:$H$102,4)</f>
        <v>0</v>
      </c>
      <c r="G13" s="9" t="n">
        <f aca="false">SUMIFS(Transactions!$E$3:$E$102,Transactions!$B$3:$B$102,"Expense",Transactions!$C$3:$C$102,"Marketing",Transactions!$G$3:$G$102,$B$3,Transactions!$H$3:$H$102,5)</f>
        <v>0</v>
      </c>
      <c r="H13" s="9" t="n">
        <f aca="false">SUMIFS(Transactions!$E$3:$E$102,Transactions!$B$3:$B$102,"Expense",Transactions!$C$3:$C$102,"Marketing",Transactions!$G$3:$G$102,$B$3,Transactions!$H$3:$H$102,6)</f>
        <v>0</v>
      </c>
      <c r="I13" s="9" t="n">
        <f aca="false">SUMIFS(Transactions!$E$3:$E$102,Transactions!$B$3:$B$102,"Expense",Transactions!$C$3:$C$102,"Marketing",Transactions!$G$3:$G$102,$B$3,Transactions!$H$3:$H$102,7)</f>
        <v>0</v>
      </c>
      <c r="J13" s="9" t="n">
        <f aca="false">SUMIFS(Transactions!$E$3:$E$102,Transactions!$B$3:$B$102,"Expense",Transactions!$C$3:$C$102,"Marketing",Transactions!$G$3:$G$102,$B$3,Transactions!$H$3:$H$102,8)</f>
        <v>0</v>
      </c>
      <c r="K13" s="9" t="n">
        <f aca="false">SUMIFS(Transactions!$E$3:$E$102,Transactions!$B$3:$B$102,"Expense",Transactions!$C$3:$C$102,"Marketing",Transactions!$G$3:$G$102,$B$3,Transactions!$H$3:$H$102,9)</f>
        <v>0</v>
      </c>
      <c r="L13" s="9" t="n">
        <f aca="false">SUMIFS(Transactions!$E$3:$E$102,Transactions!$B$3:$B$102,"Expense",Transactions!$C$3:$C$102,"Marketing",Transactions!$G$3:$G$102,$B$3,Transactions!$H$3:$H$102,10)</f>
        <v>0</v>
      </c>
      <c r="M13" s="9" t="n">
        <f aca="false">SUMIFS(Transactions!$E$3:$E$102,Transactions!$B$3:$B$102,"Expense",Transactions!$C$3:$C$102,"Marketing",Transactions!$G$3:$G$102,$B$3,Transactions!$H$3:$H$102,11)</f>
        <v>0</v>
      </c>
      <c r="N13" s="9" t="n">
        <f aca="false">SUMIFS(Transactions!$E$3:$E$102,Transactions!$B$3:$B$102,"Expense",Transactions!$C$3:$C$102,"Marketing",Transactions!$G$3:$G$102,$B$3,Transactions!$H$3:$H$102,12)</f>
        <v>0</v>
      </c>
    </row>
    <row r="14" customFormat="false" ht="15" hidden="false" customHeight="false" outlineLevel="0" collapsed="false">
      <c r="A14" s="10" t="s">
        <v>28</v>
      </c>
      <c r="B14" s="10" t="s">
        <v>128</v>
      </c>
      <c r="C14" s="9" t="n">
        <f aca="false">SUMIFS(Transactions!$E$3:$E$102,Transactions!$B$3:$B$102,"Expense",Transactions!$C$3:$C$102,"Software &amp; Tools",Transactions!$G$3:$G$102,$B$3,Transactions!$H$3:$H$102,1)</f>
        <v>0</v>
      </c>
      <c r="D14" s="9" t="n">
        <f aca="false">SUMIFS(Transactions!$E$3:$E$102,Transactions!$B$3:$B$102,"Expense",Transactions!$C$3:$C$102,"Software &amp; Tools",Transactions!$G$3:$G$102,$B$3,Transactions!$H$3:$H$102,2)</f>
        <v>0</v>
      </c>
      <c r="E14" s="9" t="n">
        <f aca="false">SUMIFS(Transactions!$E$3:$E$102,Transactions!$B$3:$B$102,"Expense",Transactions!$C$3:$C$102,"Software &amp; Tools",Transactions!$G$3:$G$102,$B$3,Transactions!$H$3:$H$102,3)</f>
        <v>0</v>
      </c>
      <c r="F14" s="9" t="n">
        <f aca="false">SUMIFS(Transactions!$E$3:$E$102,Transactions!$B$3:$B$102,"Expense",Transactions!$C$3:$C$102,"Software &amp; Tools",Transactions!$G$3:$G$102,$B$3,Transactions!$H$3:$H$102,4)</f>
        <v>0</v>
      </c>
      <c r="G14" s="9" t="n">
        <f aca="false">SUMIFS(Transactions!$E$3:$E$102,Transactions!$B$3:$B$102,"Expense",Transactions!$C$3:$C$102,"Software &amp; Tools",Transactions!$G$3:$G$102,$B$3,Transactions!$H$3:$H$102,5)</f>
        <v>0</v>
      </c>
      <c r="H14" s="9" t="n">
        <f aca="false">SUMIFS(Transactions!$E$3:$E$102,Transactions!$B$3:$B$102,"Expense",Transactions!$C$3:$C$102,"Software &amp; Tools",Transactions!$G$3:$G$102,$B$3,Transactions!$H$3:$H$102,6)</f>
        <v>0</v>
      </c>
      <c r="I14" s="9" t="n">
        <f aca="false">SUMIFS(Transactions!$E$3:$E$102,Transactions!$B$3:$B$102,"Expense",Transactions!$C$3:$C$102,"Software &amp; Tools",Transactions!$G$3:$G$102,$B$3,Transactions!$H$3:$H$102,7)</f>
        <v>0</v>
      </c>
      <c r="J14" s="9" t="n">
        <f aca="false">SUMIFS(Transactions!$E$3:$E$102,Transactions!$B$3:$B$102,"Expense",Transactions!$C$3:$C$102,"Software &amp; Tools",Transactions!$G$3:$G$102,$B$3,Transactions!$H$3:$H$102,8)</f>
        <v>0</v>
      </c>
      <c r="K14" s="9" t="n">
        <f aca="false">SUMIFS(Transactions!$E$3:$E$102,Transactions!$B$3:$B$102,"Expense",Transactions!$C$3:$C$102,"Software &amp; Tools",Transactions!$G$3:$G$102,$B$3,Transactions!$H$3:$H$102,9)</f>
        <v>0</v>
      </c>
      <c r="L14" s="9" t="n">
        <f aca="false">SUMIFS(Transactions!$E$3:$E$102,Transactions!$B$3:$B$102,"Expense",Transactions!$C$3:$C$102,"Software &amp; Tools",Transactions!$G$3:$G$102,$B$3,Transactions!$H$3:$H$102,10)</f>
        <v>0</v>
      </c>
      <c r="M14" s="9" t="n">
        <f aca="false">SUMIFS(Transactions!$E$3:$E$102,Transactions!$B$3:$B$102,"Expense",Transactions!$C$3:$C$102,"Software &amp; Tools",Transactions!$G$3:$G$102,$B$3,Transactions!$H$3:$H$102,11)</f>
        <v>0</v>
      </c>
      <c r="N14" s="9" t="n">
        <f aca="false">SUMIFS(Transactions!$E$3:$E$102,Transactions!$B$3:$B$102,"Expense",Transactions!$C$3:$C$102,"Software &amp; Tools",Transactions!$G$3:$G$102,$B$3,Transactions!$H$3:$H$102,12)</f>
        <v>0</v>
      </c>
    </row>
    <row r="15" customFormat="false" ht="15" hidden="false" customHeight="false" outlineLevel="0" collapsed="false">
      <c r="A15" s="10" t="s">
        <v>30</v>
      </c>
      <c r="B15" s="10" t="s">
        <v>128</v>
      </c>
      <c r="C15" s="9" t="n">
        <f aca="false">SUMIFS(Transactions!$E$3:$E$102,Transactions!$B$3:$B$102,"Expense",Transactions!$C$3:$C$102,"Fees &amp; Commissions",Transactions!$G$3:$G$102,$B$3,Transactions!$H$3:$H$102,1)</f>
        <v>0</v>
      </c>
      <c r="D15" s="9" t="n">
        <f aca="false">SUMIFS(Transactions!$E$3:$E$102,Transactions!$B$3:$B$102,"Expense",Transactions!$C$3:$C$102,"Fees &amp; Commissions",Transactions!$G$3:$G$102,$B$3,Transactions!$H$3:$H$102,2)</f>
        <v>0</v>
      </c>
      <c r="E15" s="9" t="n">
        <f aca="false">SUMIFS(Transactions!$E$3:$E$102,Transactions!$B$3:$B$102,"Expense",Transactions!$C$3:$C$102,"Fees &amp; Commissions",Transactions!$G$3:$G$102,$B$3,Transactions!$H$3:$H$102,3)</f>
        <v>0</v>
      </c>
      <c r="F15" s="9" t="n">
        <f aca="false">SUMIFS(Transactions!$E$3:$E$102,Transactions!$B$3:$B$102,"Expense",Transactions!$C$3:$C$102,"Fees &amp; Commissions",Transactions!$G$3:$G$102,$B$3,Transactions!$H$3:$H$102,4)</f>
        <v>0</v>
      </c>
      <c r="G15" s="9" t="n">
        <f aca="false">SUMIFS(Transactions!$E$3:$E$102,Transactions!$B$3:$B$102,"Expense",Transactions!$C$3:$C$102,"Fees &amp; Commissions",Transactions!$G$3:$G$102,$B$3,Transactions!$H$3:$H$102,5)</f>
        <v>0</v>
      </c>
      <c r="H15" s="9" t="n">
        <f aca="false">SUMIFS(Transactions!$E$3:$E$102,Transactions!$B$3:$B$102,"Expense",Transactions!$C$3:$C$102,"Fees &amp; Commissions",Transactions!$G$3:$G$102,$B$3,Transactions!$H$3:$H$102,6)</f>
        <v>0</v>
      </c>
      <c r="I15" s="9" t="n">
        <f aca="false">SUMIFS(Transactions!$E$3:$E$102,Transactions!$B$3:$B$102,"Expense",Transactions!$C$3:$C$102,"Fees &amp; Commissions",Transactions!$G$3:$G$102,$B$3,Transactions!$H$3:$H$102,7)</f>
        <v>0</v>
      </c>
      <c r="J15" s="9" t="n">
        <f aca="false">SUMIFS(Transactions!$E$3:$E$102,Transactions!$B$3:$B$102,"Expense",Transactions!$C$3:$C$102,"Fees &amp; Commissions",Transactions!$G$3:$G$102,$B$3,Transactions!$H$3:$H$102,8)</f>
        <v>0</v>
      </c>
      <c r="K15" s="9" t="n">
        <f aca="false">SUMIFS(Transactions!$E$3:$E$102,Transactions!$B$3:$B$102,"Expense",Transactions!$C$3:$C$102,"Fees &amp; Commissions",Transactions!$G$3:$G$102,$B$3,Transactions!$H$3:$H$102,9)</f>
        <v>0</v>
      </c>
      <c r="L15" s="9" t="n">
        <f aca="false">SUMIFS(Transactions!$E$3:$E$102,Transactions!$B$3:$B$102,"Expense",Transactions!$C$3:$C$102,"Fees &amp; Commissions",Transactions!$G$3:$G$102,$B$3,Transactions!$H$3:$H$102,10)</f>
        <v>0</v>
      </c>
      <c r="M15" s="9" t="n">
        <f aca="false">SUMIFS(Transactions!$E$3:$E$102,Transactions!$B$3:$B$102,"Expense",Transactions!$C$3:$C$102,"Fees &amp; Commissions",Transactions!$G$3:$G$102,$B$3,Transactions!$H$3:$H$102,11)</f>
        <v>0</v>
      </c>
      <c r="N15" s="9" t="n">
        <f aca="false">SUMIFS(Transactions!$E$3:$E$102,Transactions!$B$3:$B$102,"Expense",Transactions!$C$3:$C$102,"Fees &amp; Commissions",Transactions!$G$3:$G$102,$B$3,Transactions!$H$3:$H$102,12)</f>
        <v>0</v>
      </c>
    </row>
    <row r="16" customFormat="false" ht="15" hidden="false" customHeight="false" outlineLevel="0" collapsed="false">
      <c r="A16" s="10" t="s">
        <v>31</v>
      </c>
      <c r="B16" s="10" t="s">
        <v>128</v>
      </c>
      <c r="C16" s="9" t="n">
        <f aca="false">SUMIFS(Transactions!$E$3:$E$102,Transactions!$B$3:$B$102,"Expense",Transactions!$C$3:$C$102,"Office Supplies",Transactions!$G$3:$G$102,$B$3,Transactions!$H$3:$H$102,1)</f>
        <v>0</v>
      </c>
      <c r="D16" s="9" t="n">
        <f aca="false">SUMIFS(Transactions!$E$3:$E$102,Transactions!$B$3:$B$102,"Expense",Transactions!$C$3:$C$102,"Office Supplies",Transactions!$G$3:$G$102,$B$3,Transactions!$H$3:$H$102,2)</f>
        <v>0</v>
      </c>
      <c r="E16" s="9" t="n">
        <f aca="false">SUMIFS(Transactions!$E$3:$E$102,Transactions!$B$3:$B$102,"Expense",Transactions!$C$3:$C$102,"Office Supplies",Transactions!$G$3:$G$102,$B$3,Transactions!$H$3:$H$102,3)</f>
        <v>0</v>
      </c>
      <c r="F16" s="9" t="n">
        <f aca="false">SUMIFS(Transactions!$E$3:$E$102,Transactions!$B$3:$B$102,"Expense",Transactions!$C$3:$C$102,"Office Supplies",Transactions!$G$3:$G$102,$B$3,Transactions!$H$3:$H$102,4)</f>
        <v>0</v>
      </c>
      <c r="G16" s="9" t="n">
        <f aca="false">SUMIFS(Transactions!$E$3:$E$102,Transactions!$B$3:$B$102,"Expense",Transactions!$C$3:$C$102,"Office Supplies",Transactions!$G$3:$G$102,$B$3,Transactions!$H$3:$H$102,5)</f>
        <v>0</v>
      </c>
      <c r="H16" s="9" t="n">
        <f aca="false">SUMIFS(Transactions!$E$3:$E$102,Transactions!$B$3:$B$102,"Expense",Transactions!$C$3:$C$102,"Office Supplies",Transactions!$G$3:$G$102,$B$3,Transactions!$H$3:$H$102,6)</f>
        <v>0</v>
      </c>
      <c r="I16" s="9" t="n">
        <f aca="false">SUMIFS(Transactions!$E$3:$E$102,Transactions!$B$3:$B$102,"Expense",Transactions!$C$3:$C$102,"Office Supplies",Transactions!$G$3:$G$102,$B$3,Transactions!$H$3:$H$102,7)</f>
        <v>0</v>
      </c>
      <c r="J16" s="9" t="n">
        <f aca="false">SUMIFS(Transactions!$E$3:$E$102,Transactions!$B$3:$B$102,"Expense",Transactions!$C$3:$C$102,"Office Supplies",Transactions!$G$3:$G$102,$B$3,Transactions!$H$3:$H$102,8)</f>
        <v>0</v>
      </c>
      <c r="K16" s="9" t="n">
        <f aca="false">SUMIFS(Transactions!$E$3:$E$102,Transactions!$B$3:$B$102,"Expense",Transactions!$C$3:$C$102,"Office Supplies",Transactions!$G$3:$G$102,$B$3,Transactions!$H$3:$H$102,9)</f>
        <v>0</v>
      </c>
      <c r="L16" s="9" t="n">
        <f aca="false">SUMIFS(Transactions!$E$3:$E$102,Transactions!$B$3:$B$102,"Expense",Transactions!$C$3:$C$102,"Office Supplies",Transactions!$G$3:$G$102,$B$3,Transactions!$H$3:$H$102,10)</f>
        <v>0</v>
      </c>
      <c r="M16" s="9" t="n">
        <f aca="false">SUMIFS(Transactions!$E$3:$E$102,Transactions!$B$3:$B$102,"Expense",Transactions!$C$3:$C$102,"Office Supplies",Transactions!$G$3:$G$102,$B$3,Transactions!$H$3:$H$102,11)</f>
        <v>0</v>
      </c>
      <c r="N16" s="9" t="n">
        <f aca="false">SUMIFS(Transactions!$E$3:$E$102,Transactions!$B$3:$B$102,"Expense",Transactions!$C$3:$C$102,"Office Supplies",Transactions!$G$3:$G$102,$B$3,Transactions!$H$3:$H$102,12)</f>
        <v>0</v>
      </c>
    </row>
    <row r="17" customFormat="false" ht="15" hidden="false" customHeight="false" outlineLevel="0" collapsed="false">
      <c r="A17" s="10" t="s">
        <v>32</v>
      </c>
      <c r="B17" s="10" t="s">
        <v>128</v>
      </c>
      <c r="C17" s="9" t="n">
        <f aca="false">SUMIFS(Transactions!$E$3:$E$102,Transactions!$B$3:$B$102,"Expense",Transactions!$C$3:$C$102,"Rent",Transactions!$G$3:$G$102,$B$3,Transactions!$H$3:$H$102,1)</f>
        <v>0</v>
      </c>
      <c r="D17" s="9" t="n">
        <f aca="false">SUMIFS(Transactions!$E$3:$E$102,Transactions!$B$3:$B$102,"Expense",Transactions!$C$3:$C$102,"Rent",Transactions!$G$3:$G$102,$B$3,Transactions!$H$3:$H$102,2)</f>
        <v>0</v>
      </c>
      <c r="E17" s="9" t="n">
        <f aca="false">SUMIFS(Transactions!$E$3:$E$102,Transactions!$B$3:$B$102,"Expense",Transactions!$C$3:$C$102,"Rent",Transactions!$G$3:$G$102,$B$3,Transactions!$H$3:$H$102,3)</f>
        <v>0</v>
      </c>
      <c r="F17" s="9" t="n">
        <f aca="false">SUMIFS(Transactions!$E$3:$E$102,Transactions!$B$3:$B$102,"Expense",Transactions!$C$3:$C$102,"Rent",Transactions!$G$3:$G$102,$B$3,Transactions!$H$3:$H$102,4)</f>
        <v>0</v>
      </c>
      <c r="G17" s="9" t="n">
        <f aca="false">SUMIFS(Transactions!$E$3:$E$102,Transactions!$B$3:$B$102,"Expense",Transactions!$C$3:$C$102,"Rent",Transactions!$G$3:$G$102,$B$3,Transactions!$H$3:$H$102,5)</f>
        <v>0</v>
      </c>
      <c r="H17" s="9" t="n">
        <f aca="false">SUMIFS(Transactions!$E$3:$E$102,Transactions!$B$3:$B$102,"Expense",Transactions!$C$3:$C$102,"Rent",Transactions!$G$3:$G$102,$B$3,Transactions!$H$3:$H$102,6)</f>
        <v>0</v>
      </c>
      <c r="I17" s="9" t="n">
        <f aca="false">SUMIFS(Transactions!$E$3:$E$102,Transactions!$B$3:$B$102,"Expense",Transactions!$C$3:$C$102,"Rent",Transactions!$G$3:$G$102,$B$3,Transactions!$H$3:$H$102,7)</f>
        <v>0</v>
      </c>
      <c r="J17" s="9" t="n">
        <f aca="false">SUMIFS(Transactions!$E$3:$E$102,Transactions!$B$3:$B$102,"Expense",Transactions!$C$3:$C$102,"Rent",Transactions!$G$3:$G$102,$B$3,Transactions!$H$3:$H$102,8)</f>
        <v>0</v>
      </c>
      <c r="K17" s="9" t="n">
        <f aca="false">SUMIFS(Transactions!$E$3:$E$102,Transactions!$B$3:$B$102,"Expense",Transactions!$C$3:$C$102,"Rent",Transactions!$G$3:$G$102,$B$3,Transactions!$H$3:$H$102,9)</f>
        <v>0</v>
      </c>
      <c r="L17" s="9" t="n">
        <f aca="false">SUMIFS(Transactions!$E$3:$E$102,Transactions!$B$3:$B$102,"Expense",Transactions!$C$3:$C$102,"Rent",Transactions!$G$3:$G$102,$B$3,Transactions!$H$3:$H$102,10)</f>
        <v>0</v>
      </c>
      <c r="M17" s="9" t="n">
        <f aca="false">SUMIFS(Transactions!$E$3:$E$102,Transactions!$B$3:$B$102,"Expense",Transactions!$C$3:$C$102,"Rent",Transactions!$G$3:$G$102,$B$3,Transactions!$H$3:$H$102,11)</f>
        <v>0</v>
      </c>
      <c r="N17" s="9" t="n">
        <f aca="false">SUMIFS(Transactions!$E$3:$E$102,Transactions!$B$3:$B$102,"Expense",Transactions!$C$3:$C$102,"Rent",Transactions!$G$3:$G$102,$B$3,Transactions!$H$3:$H$102,12)</f>
        <v>0</v>
      </c>
    </row>
    <row r="18" customFormat="false" ht="15" hidden="false" customHeight="false" outlineLevel="0" collapsed="false">
      <c r="A18" s="10" t="s">
        <v>33</v>
      </c>
      <c r="B18" s="10" t="s">
        <v>128</v>
      </c>
      <c r="C18" s="9" t="n">
        <f aca="false">SUMIFS(Transactions!$E$3:$E$102,Transactions!$B$3:$B$102,"Expense",Transactions!$C$3:$C$102,"Utilities",Transactions!$G$3:$G$102,$B$3,Transactions!$H$3:$H$102,1)</f>
        <v>0</v>
      </c>
      <c r="D18" s="9" t="n">
        <f aca="false">SUMIFS(Transactions!$E$3:$E$102,Transactions!$B$3:$B$102,"Expense",Transactions!$C$3:$C$102,"Utilities",Transactions!$G$3:$G$102,$B$3,Transactions!$H$3:$H$102,2)</f>
        <v>0</v>
      </c>
      <c r="E18" s="9" t="n">
        <f aca="false">SUMIFS(Transactions!$E$3:$E$102,Transactions!$B$3:$B$102,"Expense",Transactions!$C$3:$C$102,"Utilities",Transactions!$G$3:$G$102,$B$3,Transactions!$H$3:$H$102,3)</f>
        <v>0</v>
      </c>
      <c r="F18" s="9" t="n">
        <f aca="false">SUMIFS(Transactions!$E$3:$E$102,Transactions!$B$3:$B$102,"Expense",Transactions!$C$3:$C$102,"Utilities",Transactions!$G$3:$G$102,$B$3,Transactions!$H$3:$H$102,4)</f>
        <v>0</v>
      </c>
      <c r="G18" s="9" t="n">
        <f aca="false">SUMIFS(Transactions!$E$3:$E$102,Transactions!$B$3:$B$102,"Expense",Transactions!$C$3:$C$102,"Utilities",Transactions!$G$3:$G$102,$B$3,Transactions!$H$3:$H$102,5)</f>
        <v>0</v>
      </c>
      <c r="H18" s="9" t="n">
        <f aca="false">SUMIFS(Transactions!$E$3:$E$102,Transactions!$B$3:$B$102,"Expense",Transactions!$C$3:$C$102,"Utilities",Transactions!$G$3:$G$102,$B$3,Transactions!$H$3:$H$102,6)</f>
        <v>0</v>
      </c>
      <c r="I18" s="9" t="n">
        <f aca="false">SUMIFS(Transactions!$E$3:$E$102,Transactions!$B$3:$B$102,"Expense",Transactions!$C$3:$C$102,"Utilities",Transactions!$G$3:$G$102,$B$3,Transactions!$H$3:$H$102,7)</f>
        <v>0</v>
      </c>
      <c r="J18" s="9" t="n">
        <f aca="false">SUMIFS(Transactions!$E$3:$E$102,Transactions!$B$3:$B$102,"Expense",Transactions!$C$3:$C$102,"Utilities",Transactions!$G$3:$G$102,$B$3,Transactions!$H$3:$H$102,8)</f>
        <v>0</v>
      </c>
      <c r="K18" s="9" t="n">
        <f aca="false">SUMIFS(Transactions!$E$3:$E$102,Transactions!$B$3:$B$102,"Expense",Transactions!$C$3:$C$102,"Utilities",Transactions!$G$3:$G$102,$B$3,Transactions!$H$3:$H$102,9)</f>
        <v>0</v>
      </c>
      <c r="L18" s="9" t="n">
        <f aca="false">SUMIFS(Transactions!$E$3:$E$102,Transactions!$B$3:$B$102,"Expense",Transactions!$C$3:$C$102,"Utilities",Transactions!$G$3:$G$102,$B$3,Transactions!$H$3:$H$102,10)</f>
        <v>0</v>
      </c>
      <c r="M18" s="9" t="n">
        <f aca="false">SUMIFS(Transactions!$E$3:$E$102,Transactions!$B$3:$B$102,"Expense",Transactions!$C$3:$C$102,"Utilities",Transactions!$G$3:$G$102,$B$3,Transactions!$H$3:$H$102,11)</f>
        <v>0</v>
      </c>
      <c r="N18" s="9" t="n">
        <f aca="false">SUMIFS(Transactions!$E$3:$E$102,Transactions!$B$3:$B$102,"Expense",Transactions!$C$3:$C$102,"Utilities",Transactions!$G$3:$G$102,$B$3,Transactions!$H$3:$H$102,12)</f>
        <v>0</v>
      </c>
    </row>
    <row r="19" customFormat="false" ht="15" hidden="false" customHeight="false" outlineLevel="0" collapsed="false">
      <c r="A19" s="10" t="s">
        <v>34</v>
      </c>
      <c r="B19" s="10" t="s">
        <v>128</v>
      </c>
      <c r="C19" s="9" t="n">
        <f aca="false">SUMIFS(Transactions!$E$3:$E$102,Transactions!$B$3:$B$102,"Expense",Transactions!$C$3:$C$102,"Other Expense",Transactions!$G$3:$G$102,$B$3,Transactions!$H$3:$H$102,1)</f>
        <v>0</v>
      </c>
      <c r="D19" s="9" t="n">
        <f aca="false">SUMIFS(Transactions!$E$3:$E$102,Transactions!$B$3:$B$102,"Expense",Transactions!$C$3:$C$102,"Other Expense",Transactions!$G$3:$G$102,$B$3,Transactions!$H$3:$H$102,2)</f>
        <v>0</v>
      </c>
      <c r="E19" s="9" t="n">
        <f aca="false">SUMIFS(Transactions!$E$3:$E$102,Transactions!$B$3:$B$102,"Expense",Transactions!$C$3:$C$102,"Other Expense",Transactions!$G$3:$G$102,$B$3,Transactions!$H$3:$H$102,3)</f>
        <v>0</v>
      </c>
      <c r="F19" s="9" t="n">
        <f aca="false">SUMIFS(Transactions!$E$3:$E$102,Transactions!$B$3:$B$102,"Expense",Transactions!$C$3:$C$102,"Other Expense",Transactions!$G$3:$G$102,$B$3,Transactions!$H$3:$H$102,4)</f>
        <v>0</v>
      </c>
      <c r="G19" s="9" t="n">
        <f aca="false">SUMIFS(Transactions!$E$3:$E$102,Transactions!$B$3:$B$102,"Expense",Transactions!$C$3:$C$102,"Other Expense",Transactions!$G$3:$G$102,$B$3,Transactions!$H$3:$H$102,5)</f>
        <v>0</v>
      </c>
      <c r="H19" s="9" t="n">
        <f aca="false">SUMIFS(Transactions!$E$3:$E$102,Transactions!$B$3:$B$102,"Expense",Transactions!$C$3:$C$102,"Other Expense",Transactions!$G$3:$G$102,$B$3,Transactions!$H$3:$H$102,6)</f>
        <v>0</v>
      </c>
      <c r="I19" s="9" t="n">
        <f aca="false">SUMIFS(Transactions!$E$3:$E$102,Transactions!$B$3:$B$102,"Expense",Transactions!$C$3:$C$102,"Other Expense",Transactions!$G$3:$G$102,$B$3,Transactions!$H$3:$H$102,7)</f>
        <v>0</v>
      </c>
      <c r="J19" s="9" t="n">
        <f aca="false">SUMIFS(Transactions!$E$3:$E$102,Transactions!$B$3:$B$102,"Expense",Transactions!$C$3:$C$102,"Other Expense",Transactions!$G$3:$G$102,$B$3,Transactions!$H$3:$H$102,8)</f>
        <v>0</v>
      </c>
      <c r="K19" s="9" t="n">
        <f aca="false">SUMIFS(Transactions!$E$3:$E$102,Transactions!$B$3:$B$102,"Expense",Transactions!$C$3:$C$102,"Other Expense",Transactions!$G$3:$G$102,$B$3,Transactions!$H$3:$H$102,9)</f>
        <v>0</v>
      </c>
      <c r="L19" s="9" t="n">
        <f aca="false">SUMIFS(Transactions!$E$3:$E$102,Transactions!$B$3:$B$102,"Expense",Transactions!$C$3:$C$102,"Other Expense",Transactions!$G$3:$G$102,$B$3,Transactions!$H$3:$H$102,10)</f>
        <v>0</v>
      </c>
      <c r="M19" s="9" t="n">
        <f aca="false">SUMIFS(Transactions!$E$3:$E$102,Transactions!$B$3:$B$102,"Expense",Transactions!$C$3:$C$102,"Other Expense",Transactions!$G$3:$G$102,$B$3,Transactions!$H$3:$H$102,11)</f>
        <v>0</v>
      </c>
      <c r="N19" s="9" t="n">
        <f aca="false">SUMIFS(Transactions!$E$3:$E$102,Transactions!$B$3:$B$102,"Expense",Transactions!$C$3:$C$102,"Other Expense",Transactions!$G$3:$G$102,$B$3,Transactions!$H$3:$H$102,12)</f>
        <v>0</v>
      </c>
    </row>
  </sheetData>
  <mergeCells count="2">
    <mergeCell ref="A1:H1"/>
    <mergeCell ref="A2:H2"/>
  </mergeCells>
  <conditionalFormatting sqref="C6:N19">
    <cfRule type="colorScale" priority="2">
      <colorScale>
        <cfvo type="min" val="0"/>
        <cfvo type="max" val="0"/>
        <color rgb="FFFFFFFF"/>
        <color rgb="FF4C7A4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</cols>
  <sheetData>
    <row r="1" customFormat="false" ht="16.15" hidden="false" customHeight="false" outlineLevel="0" collapsed="false">
      <c r="A1" s="1" t="s">
        <v>129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1" t="s">
        <v>130</v>
      </c>
      <c r="B3" s="11" t="s">
        <v>131</v>
      </c>
    </row>
    <row r="4" customFormat="false" ht="25.5" hidden="false" customHeight="true" outlineLevel="0" collapsed="false">
      <c r="A4" s="10" t="s">
        <v>132</v>
      </c>
      <c r="B4" s="21" t="s">
        <v>133</v>
      </c>
    </row>
    <row r="5" customFormat="false" ht="25.5" hidden="false" customHeight="true" outlineLevel="0" collapsed="false">
      <c r="A5" s="10" t="s">
        <v>134</v>
      </c>
      <c r="B5" s="21" t="s">
        <v>135</v>
      </c>
    </row>
    <row r="6" customFormat="false" ht="25.5" hidden="false" customHeight="true" outlineLevel="0" collapsed="false">
      <c r="A6" s="10" t="s">
        <v>136</v>
      </c>
      <c r="B6" s="21" t="s">
        <v>137</v>
      </c>
    </row>
    <row r="7" customFormat="false" ht="25.5" hidden="false" customHeight="true" outlineLevel="0" collapsed="false">
      <c r="A7" s="10" t="s">
        <v>138</v>
      </c>
      <c r="B7" s="21" t="s">
        <v>139</v>
      </c>
    </row>
    <row r="8" customFormat="false" ht="25.5" hidden="false" customHeight="true" outlineLevel="0" collapsed="false">
      <c r="A8" s="10" t="s">
        <v>140</v>
      </c>
      <c r="B8" s="21" t="s">
        <v>141</v>
      </c>
    </row>
    <row r="9" customFormat="false" ht="25.5" hidden="false" customHeight="true" outlineLevel="0" collapsed="false">
      <c r="A9" s="10" t="s">
        <v>142</v>
      </c>
      <c r="B9" s="21" t="s">
        <v>143</v>
      </c>
    </row>
    <row r="10" customFormat="false" ht="25.5" hidden="false" customHeight="true" outlineLevel="0" collapsed="false">
      <c r="A10" s="10" t="s">
        <v>144</v>
      </c>
      <c r="B10" s="21" t="s">
        <v>145</v>
      </c>
    </row>
    <row r="12" customFormat="false" ht="15" hidden="false" customHeight="false" outlineLevel="0" collapsed="false">
      <c r="A12" s="3" t="s">
        <v>9</v>
      </c>
      <c r="B12" s="3"/>
    </row>
  </sheetData>
  <mergeCells count="2">
    <mergeCell ref="A1:H1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2026-08-14T14:56:52Z</dcterms:created>
  <dc:creator>openpyxl</dc:creator>
  <dc:description/>
  <dc:language>en-US</dc:language>
  <cp:lastModifiedBy/>
  <dcterms:modified xsi:type="dcterms:W3CDTF">2026-08-14T14:56:54Z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