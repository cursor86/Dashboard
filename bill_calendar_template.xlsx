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etup" sheetId="2" state="visible" r:id="rId4"/>
    <sheet name="Bill Tracker" sheetId="3" state="visible" r:id="rId5"/>
    <sheet name="Bill Calend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<sst xmlns="http://schemas.openxmlformats.org/spreadsheetml/2006/main" count="72" uniqueCount="62">
  <si>
    <t xml:space="preserve">How to Use This Bill Calendar</t>
  </si>
  <si>
    <t xml:space="preserve">1. Open 'Setup' first. Confirm your bill categories and payment methods.</t>
  </si>
  <si>
    <t xml:space="preserve">2. Log every recurring bill in 'Bill Tracker' — Amount, Frequency (Monthly, Quarterly, Annually, or One-Time), Due Day (day of the month, 1-31), Start Date, and optional End Date.</t>
  </si>
  <si>
    <t xml:space="preserve">3. For One-Time bills, the Start Date's day is used automatically — the Due Day field is ignored for those rows.</t>
  </si>
  <si>
    <t xml:space="preserve">4. Change the Year/Month at the top of 'Bill Calendar' to see that month's due bills laid out on a visual calendar grid, with total amount due per day.</t>
  </si>
  <si>
    <t xml:space="preserve">5. Rows in 'Bill Tracker' highlight automatically when a bill is due in the month currently selected on 'Bill Calendar' — orange if it also needs manual payment (Auto-Pay = No).</t>
  </si>
  <si>
    <t xml:space="preserve">6. Only edit yellow (input) or white cells. Green-header and formula/helper cells (columns K onward in Bill Tracker) update automatically — do not overwrite them.</t>
  </si>
  <si>
    <t xml:space="preserve">Prepared for {{CLIENT_NAME}} ({{NICHE}}). Amounts are in {{CURRENCY}}.</t>
  </si>
  <si>
    <t xml:space="preserve">{{CLIENT_NAME}} — Setup</t>
  </si>
  <si>
    <t xml:space="preserve">{{NICHE}} — configure once, everything else updates automatically</t>
  </si>
  <si>
    <t xml:space="preserve">Bill Categories</t>
  </si>
  <si>
    <t xml:space="preserve">Payment Methods</t>
  </si>
  <si>
    <t xml:space="preserve">Rent/Mortgage</t>
  </si>
  <si>
    <t xml:space="preserve">Bank Transfer</t>
  </si>
  <si>
    <t xml:space="preserve">Utilities</t>
  </si>
  <si>
    <t xml:space="preserve">Credit Card</t>
  </si>
  <si>
    <t xml:space="preserve">Software &amp; Subscriptions</t>
  </si>
  <si>
    <t xml:space="preserve">Debit Card</t>
  </si>
  <si>
    <t xml:space="preserve">Insurance</t>
  </si>
  <si>
    <t xml:space="preserve">PayPal</t>
  </si>
  <si>
    <t xml:space="preserve">Loan Payment</t>
  </si>
  <si>
    <t xml:space="preserve">Cash</t>
  </si>
  <si>
    <t xml:space="preserve">Marketing</t>
  </si>
  <si>
    <t xml:space="preserve">Other</t>
  </si>
  <si>
    <t xml:space="preserve">Supplies</t>
  </si>
  <si>
    <t xml:space="preserve">{{CLIENT_NAME}} — Bill Tracker</t>
  </si>
  <si>
    <t xml:space="preserve">Bill Name</t>
  </si>
  <si>
    <t xml:space="preserve">Category</t>
  </si>
  <si>
    <t xml:space="preserve">Amount ({{CURRENCY}})</t>
  </si>
  <si>
    <t xml:space="preserve">Frequency</t>
  </si>
  <si>
    <t xml:space="preserve">Due Day (1-31)</t>
  </si>
  <si>
    <t xml:space="preserve">Start Date</t>
  </si>
  <si>
    <t xml:space="preserve">End Date (blank = ongoing)</t>
  </si>
  <si>
    <t xml:space="preserve">Payment Method</t>
  </si>
  <si>
    <t xml:space="preserve">Auto-Pay</t>
  </si>
  <si>
    <t xml:space="preserve">Status</t>
  </si>
  <si>
    <t xml:space="preserve">Start Idx</t>
  </si>
  <si>
    <t xml:space="preserve">End Idx</t>
  </si>
  <si>
    <t xml:space="preserve">Selected Idx</t>
  </si>
  <si>
    <t xml:space="preserve">In Range?</t>
  </si>
  <si>
    <t xml:space="preserve">Frequency Match?</t>
  </si>
  <si>
    <t xml:space="preserve">Due This Month?</t>
  </si>
  <si>
    <t xml:space="preserve">Due Day This Month</t>
  </si>
  <si>
    <t xml:space="preserve">Due Date This Month</t>
  </si>
  <si>
    <t xml:space="preserve">{{CLIENT_NAME}} — Bill Calendar</t>
  </si>
  <si>
    <t xml:space="preserve">{{NICHE}} — figures in {{CURRENCY}}</t>
  </si>
  <si>
    <t xml:space="preserve">Year</t>
  </si>
  <si>
    <t xml:space="preserve">Month</t>
  </si>
  <si>
    <t xml:space="preserve">Total Due This Month ({{CURRENCY}})</t>
  </si>
  <si>
    <t xml:space="preserve">Bills Due This Month</t>
  </si>
  <si>
    <t xml:space="preserve">Auto-Paid</t>
  </si>
  <si>
    <t xml:space="preserve">Needs Manual Payment</t>
  </si>
  <si>
    <t xml:space="preserve">Spending by Category — Selected Month</t>
  </si>
  <si>
    <t xml:space="preserve">Amount</t>
  </si>
  <si>
    <t xml:space="preserve">Amounts shown in {{CURRENCY}}. Each day's total appears below its date.</t>
  </si>
  <si>
    <t xml:space="preserve">Sun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</si>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</sst>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mm/dd/yyyy"/>
    <numFmt numFmtId="167" formatCode="0"/>
    <numFmt numFmtId="168" formatCode="#,##0.00;;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523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12"/>
      <color rgb="FF555555"/>
      <name val="Arial"/>
      <family val="0"/>
      <charset val="1"/>
    </font>
    <font>
      <b val="true"/>
      <sz val="11"/>
      <color rgb="FF2F52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2"/>
      <color rgb="FFC9DFC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1F3B21"/>
      <name val="Arial"/>
      <family val="0"/>
      <charset val="1"/>
    </font>
    <font>
      <b val="true"/>
      <sz val="16"/>
      <color rgb="FF1F3B21"/>
      <name val="Arial"/>
      <family val="0"/>
      <charset val="1"/>
    </font>
    <font>
      <b val="true"/>
      <sz val="9"/>
      <color rgb="FF2F523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233"/>
        <bgColor rgb="FF1F3B21"/>
      </patternFill>
    </fill>
    <fill>
      <patternFill patternType="solid">
        <fgColor rgb="FFFFFDE7"/>
        <bgColor rgb="FFFFFFFF"/>
      </patternFill>
    </fill>
    <fill>
      <patternFill patternType="solid">
        <fgColor rgb="FFDCEAD5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4C7A47"/>
      </left>
      <right/>
      <top style="thin">
        <color rgb="FF4C7A47"/>
      </top>
      <bottom style="thin">
        <color rgb="FF4C7A47"/>
      </bottom>
      <diagonal/>
    </border>
    <border diagonalUp="false" diagonalDown="false">
      <left/>
      <right/>
      <top style="thin">
        <color rgb="FF4C7A47"/>
      </top>
      <bottom style="thin">
        <color rgb="FF4C7A47"/>
      </bottom>
      <diagonal/>
    </border>
    <border diagonalUp="false" diagonalDown="false">
      <left/>
      <right style="thin">
        <color rgb="FF4C7A47"/>
      </right>
      <top style="thin">
        <color rgb="FF4C7A47"/>
      </top>
      <bottom style="thin">
        <color rgb="FF4C7A4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DEBD0"/>
        </patternFill>
      </fill>
    </dxf>
    <dxf>
      <fill>
        <patternFill>
          <bgColor rgb="FFEAF7EC"/>
        </patternFill>
      </fill>
    </dxf>
    <dxf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C7A47"/>
      <rgbColor rgb="FF800080"/>
      <rgbColor rgb="FF4F81BD"/>
      <rgbColor rgb="FFCCCCCC"/>
      <rgbColor rgb="FF888888"/>
      <rgbColor rgb="FF93A9CE"/>
      <rgbColor rgb="FFAB4744"/>
      <rgbColor rgb="FFFFFDE7"/>
      <rgbColor rgb="FFEAF7EC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9DFC2"/>
      <rgbColor rgb="FFDCEAD5"/>
      <rgbColor rgb="FFFFF3CD"/>
      <rgbColor rgb="FF99CCFF"/>
      <rgbColor rgb="FFD09493"/>
      <rgbColor rgb="FFCC99FF"/>
      <rgbColor rgb="FFFDEBD0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2F5233"/>
      <rgbColor rgb="FF993300"/>
      <rgbColor rgb="FF993366"/>
      <rgbColor rgb="FF555555"/>
      <rgbColor rgb="FF1F3B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Spending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'Bill Calendar'!$F$7:$F$14</c:f>
              <c:strCache>
                <c:ptCount val="8"/>
                <c:pt idx="0">
                  <c:v>Rent/Mortgage</c:v>
                </c:pt>
                <c:pt idx="1">
                  <c:v>Utilities</c:v>
                </c:pt>
                <c:pt idx="2">
                  <c:v>Software &amp; Subscriptions</c:v>
                </c:pt>
                <c:pt idx="3">
                  <c:v>Insurance</c:v>
                </c:pt>
                <c:pt idx="4">
                  <c:v>Loan Payment</c:v>
                </c:pt>
                <c:pt idx="5">
                  <c:v>Marketing</c:v>
                </c:pt>
                <c:pt idx="6">
                  <c:v>Supplies</c:v>
                </c:pt>
                <c:pt idx="7">
                  <c:v>Other</c:v>
                </c:pt>
              </c:strCache>
            </c:strRef>
          </c:cat>
          <c:val>
            <c:numRef>
              <c:f>'Bill Calendar'!$G$7:$G$14</c:f>
              <c:numCache>
                <c:formatCode>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13</xdr:col>
      <xdr:colOff>165600</xdr:colOff>
      <xdr:row>17</xdr:row>
      <xdr:rowOff>98280</xdr:rowOff>
    </xdr:to>
    <xdr:graphicFrame>
      <xdr:nvGraphicFramePr>
        <xdr:cNvPr id="0" name="Chart 1"/>
        <xdr:cNvGraphicFramePr/>
      </xdr:nvGraphicFramePr>
      <xdr:xfrm>
        <a:off x="8226360" y="103824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4" customFormat="false" ht="30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30" hidden="false" customHeight="true" outlineLevel="0" collapsed="false">
      <c r="A5" s="2" t="s">
        <v>2</v>
      </c>
      <c r="B5" s="2"/>
      <c r="C5" s="2"/>
      <c r="D5" s="2"/>
      <c r="E5" s="2"/>
      <c r="F5" s="2"/>
      <c r="G5" s="2"/>
      <c r="H5" s="2"/>
    </row>
    <row r="6" customFormat="false" ht="30" hidden="false" customHeight="true" outlineLevel="0" collapsed="false">
      <c r="A6" s="2" t="s">
        <v>3</v>
      </c>
      <c r="B6" s="2"/>
      <c r="C6" s="2"/>
      <c r="D6" s="2"/>
      <c r="E6" s="2"/>
      <c r="F6" s="2"/>
      <c r="G6" s="2"/>
      <c r="H6" s="2"/>
    </row>
    <row r="7" customFormat="false" ht="30" hidden="false" customHeight="true" outlineLevel="0" collapsed="false">
      <c r="A7" s="2" t="s">
        <v>4</v>
      </c>
      <c r="B7" s="2"/>
      <c r="C7" s="2"/>
      <c r="D7" s="2"/>
      <c r="E7" s="2"/>
      <c r="F7" s="2"/>
      <c r="G7" s="2"/>
      <c r="H7" s="2"/>
    </row>
    <row r="8" customFormat="false" ht="30" hidden="false" customHeight="tru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30" hidden="false" customHeight="true" outlineLevel="0" collapsed="false">
      <c r="A9" s="2" t="s">
        <v>6</v>
      </c>
      <c r="B9" s="2"/>
      <c r="C9" s="2"/>
      <c r="D9" s="2"/>
      <c r="E9" s="2"/>
      <c r="F9" s="2"/>
      <c r="G9" s="2"/>
      <c r="H9" s="2"/>
    </row>
    <row r="11" customFormat="false" ht="15" hidden="false" customHeight="false" outlineLevel="0" collapsed="false">
      <c r="A11" s="3" t="s">
        <v>7</v>
      </c>
      <c r="B11" s="3"/>
      <c r="C11" s="3"/>
      <c r="D11" s="3"/>
      <c r="E11" s="3"/>
      <c r="F11" s="3"/>
      <c r="G11" s="3"/>
      <c r="H11" s="3"/>
    </row>
  </sheetData>
  <mergeCells count="8">
    <mergeCell ref="A1:H1"/>
    <mergeCell ref="A4:H4"/>
    <mergeCell ref="A5:H5"/>
    <mergeCell ref="A6:H6"/>
    <mergeCell ref="A7:H7"/>
    <mergeCell ref="A8:H8"/>
    <mergeCell ref="A9:H9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9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10</v>
      </c>
      <c r="B3" s="5" t="s">
        <v>11</v>
      </c>
    </row>
    <row r="4" customFormat="false" ht="15" hidden="false" customHeight="false" outlineLevel="0" collapsed="false">
      <c r="A4" s="6" t="s">
        <v>12</v>
      </c>
      <c r="B4" s="6" t="s">
        <v>13</v>
      </c>
    </row>
    <row r="5" customFormat="false" ht="15" hidden="false" customHeight="false" outlineLevel="0" collapsed="false">
      <c r="A5" s="6" t="s">
        <v>14</v>
      </c>
      <c r="B5" s="6" t="s">
        <v>15</v>
      </c>
    </row>
    <row r="6" customFormat="false" ht="15" hidden="false" customHeight="false" outlineLevel="0" collapsed="false">
      <c r="A6" s="6" t="s">
        <v>16</v>
      </c>
      <c r="B6" s="6" t="s">
        <v>17</v>
      </c>
    </row>
    <row r="7" customFormat="false" ht="15" hidden="false" customHeight="false" outlineLevel="0" collapsed="false">
      <c r="A7" s="6" t="s">
        <v>18</v>
      </c>
      <c r="B7" s="6" t="s">
        <v>19</v>
      </c>
    </row>
    <row r="8" customFormat="false" ht="15" hidden="false" customHeight="false" outlineLevel="0" collapsed="false">
      <c r="A8" s="6" t="s">
        <v>20</v>
      </c>
      <c r="B8" s="6" t="s">
        <v>21</v>
      </c>
    </row>
    <row r="9" customFormat="false" ht="15" hidden="false" customHeight="false" outlineLevel="0" collapsed="false">
      <c r="A9" s="6" t="s">
        <v>22</v>
      </c>
      <c r="B9" s="6" t="s">
        <v>23</v>
      </c>
    </row>
    <row r="10" customFormat="false" ht="15" hidden="false" customHeight="false" outlineLevel="0" collapsed="false">
      <c r="A10" s="6" t="s">
        <v>24</v>
      </c>
    </row>
    <row r="11" customFormat="false" ht="15" hidden="false" customHeight="false" outlineLevel="0" collapsed="false">
      <c r="A11" s="6" t="s">
        <v>23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2" min="11" style="0" width="9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7" min="15" style="0" width="11"/>
    <col collapsed="false" customWidth="true" hidden="false" outlineLevel="0" max="18" min="18" style="0" width="14"/>
  </cols>
  <sheetData>
    <row r="1" customFormat="false" ht="16.15" hidden="false" customHeight="fals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6.85" hidden="false" customHeight="false" outlineLevel="0" collapsed="false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</row>
    <row r="3" customFormat="false" ht="15" hidden="false" customHeight="false" outlineLevel="0" collapsed="false">
      <c r="A3" s="8"/>
      <c r="B3" s="8"/>
      <c r="C3" s="9"/>
      <c r="D3" s="8"/>
      <c r="E3" s="8"/>
      <c r="F3" s="10"/>
      <c r="G3" s="10"/>
      <c r="H3" s="8"/>
      <c r="I3" s="8"/>
      <c r="J3" s="8"/>
      <c r="K3" s="8" t="str">
        <f aca="false">IF(A3="","",YEAR(F3)*12+MONTH(F3))</f>
        <v/>
      </c>
      <c r="L3" s="8" t="str">
        <f aca="false">IF(A3="","",IF(G3="",999999,YEAR(G3)*12+MONTH(G3)))</f>
        <v/>
      </c>
      <c r="M3" s="8" t="str">
        <f aca="false">IF(A3="","",'Bill Calendar'!$B$3*12+'Bill Calendar'!$D$3)</f>
        <v/>
      </c>
      <c r="N3" s="8" t="str">
        <f aca="false">IF(A3="","",AND(M3&gt;=K3,M3&lt;=L3,J3="Active"))</f>
        <v/>
      </c>
      <c r="O3" s="8" t="str">
        <f aca="false">IF(A3="","",IF(D3="One-Time",M3=K3,IF(D3="Monthly",TRUE(),IF(D3="Quarterly",MOD(M3-K3,3)=0,IF(D3="Annually",MOD(M3-K3,12)=0,FALSE())))))</f>
        <v/>
      </c>
      <c r="P3" s="8" t="str">
        <f aca="false">IF(A3="","",AND(N3,O3))</f>
        <v/>
      </c>
      <c r="Q3" s="8" t="str">
        <f aca="false">IF(A3="","",IF(D3="One-Time",DAY(F3),MIN(E3,DAY(DATE('Bill Calendar'!$B$3,'Bill Calendar'!$D$3+1,1)-1))))</f>
        <v/>
      </c>
      <c r="R3" s="10" t="str">
        <f aca="false">IF(A3="","",IF(P3,DATE('Bill Calendar'!$B$3,'Bill Calendar'!$D$3,Q3),""))</f>
        <v/>
      </c>
    </row>
    <row r="4" customFormat="false" ht="15" hidden="false" customHeight="false" outlineLevel="0" collapsed="false">
      <c r="A4" s="8"/>
      <c r="B4" s="8"/>
      <c r="C4" s="9"/>
      <c r="D4" s="8"/>
      <c r="E4" s="8"/>
      <c r="F4" s="10"/>
      <c r="G4" s="10"/>
      <c r="H4" s="8"/>
      <c r="I4" s="8"/>
      <c r="J4" s="8"/>
      <c r="K4" s="8" t="str">
        <f aca="false">IF(A4="","",YEAR(F4)*12+MONTH(F4))</f>
        <v/>
      </c>
      <c r="L4" s="8" t="str">
        <f aca="false">IF(A4="","",IF(G4="",999999,YEAR(G4)*12+MONTH(G4)))</f>
        <v/>
      </c>
      <c r="M4" s="8" t="str">
        <f aca="false">IF(A4="","",'Bill Calendar'!$B$3*12+'Bill Calendar'!$D$3)</f>
        <v/>
      </c>
      <c r="N4" s="8" t="str">
        <f aca="false">IF(A4="","",AND(M4&gt;=K4,M4&lt;=L4,J4="Active"))</f>
        <v/>
      </c>
      <c r="O4" s="8" t="str">
        <f aca="false">IF(A4="","",IF(D4="One-Time",M4=K4,IF(D4="Monthly",TRUE(),IF(D4="Quarterly",MOD(M4-K4,3)=0,IF(D4="Annually",MOD(M4-K4,12)=0,FALSE())))))</f>
        <v/>
      </c>
      <c r="P4" s="8" t="str">
        <f aca="false">IF(A4="","",AND(N4,O4))</f>
        <v/>
      </c>
      <c r="Q4" s="8" t="str">
        <f aca="false">IF(A4="","",IF(D4="One-Time",DAY(F4),MIN(E4,DAY(DATE('Bill Calendar'!$B$3,'Bill Calendar'!$D$3+1,1)-1))))</f>
        <v/>
      </c>
      <c r="R4" s="10" t="str">
        <f aca="false">IF(A4="","",IF(P4,DATE('Bill Calendar'!$B$3,'Bill Calendar'!$D$3,Q4),""))</f>
        <v/>
      </c>
    </row>
    <row r="5" customFormat="false" ht="15" hidden="false" customHeight="false" outlineLevel="0" collapsed="false">
      <c r="A5" s="8"/>
      <c r="B5" s="8"/>
      <c r="C5" s="9"/>
      <c r="D5" s="8"/>
      <c r="E5" s="8"/>
      <c r="F5" s="10"/>
      <c r="G5" s="10"/>
      <c r="H5" s="8"/>
      <c r="I5" s="8"/>
      <c r="J5" s="8"/>
      <c r="K5" s="8" t="str">
        <f aca="false">IF(A5="","",YEAR(F5)*12+MONTH(F5))</f>
        <v/>
      </c>
      <c r="L5" s="8" t="str">
        <f aca="false">IF(A5="","",IF(G5="",999999,YEAR(G5)*12+MONTH(G5)))</f>
        <v/>
      </c>
      <c r="M5" s="8" t="str">
        <f aca="false">IF(A5="","",'Bill Calendar'!$B$3*12+'Bill Calendar'!$D$3)</f>
        <v/>
      </c>
      <c r="N5" s="8" t="str">
        <f aca="false">IF(A5="","",AND(M5&gt;=K5,M5&lt;=L5,J5="Active"))</f>
        <v/>
      </c>
      <c r="O5" s="8" t="str">
        <f aca="false">IF(A5="","",IF(D5="One-Time",M5=K5,IF(D5="Monthly",TRUE(),IF(D5="Quarterly",MOD(M5-K5,3)=0,IF(D5="Annually",MOD(M5-K5,12)=0,FALSE())))))</f>
        <v/>
      </c>
      <c r="P5" s="8" t="str">
        <f aca="false">IF(A5="","",AND(N5,O5))</f>
        <v/>
      </c>
      <c r="Q5" s="8" t="str">
        <f aca="false">IF(A5="","",IF(D5="One-Time",DAY(F5),MIN(E5,DAY(DATE('Bill Calendar'!$B$3,'Bill Calendar'!$D$3+1,1)-1))))</f>
        <v/>
      </c>
      <c r="R5" s="10" t="str">
        <f aca="false">IF(A5="","",IF(P5,DATE('Bill Calendar'!$B$3,'Bill Calendar'!$D$3,Q5),""))</f>
        <v/>
      </c>
    </row>
    <row r="6" customFormat="false" ht="15" hidden="false" customHeight="false" outlineLevel="0" collapsed="false">
      <c r="A6" s="8"/>
      <c r="B6" s="8"/>
      <c r="C6" s="9"/>
      <c r="D6" s="8"/>
      <c r="E6" s="8"/>
      <c r="F6" s="10"/>
      <c r="G6" s="10"/>
      <c r="H6" s="8"/>
      <c r="I6" s="8"/>
      <c r="J6" s="8"/>
      <c r="K6" s="8" t="str">
        <f aca="false">IF(A6="","",YEAR(F6)*12+MONTH(F6))</f>
        <v/>
      </c>
      <c r="L6" s="8" t="str">
        <f aca="false">IF(A6="","",IF(G6="",999999,YEAR(G6)*12+MONTH(G6)))</f>
        <v/>
      </c>
      <c r="M6" s="8" t="str">
        <f aca="false">IF(A6="","",'Bill Calendar'!$B$3*12+'Bill Calendar'!$D$3)</f>
        <v/>
      </c>
      <c r="N6" s="8" t="str">
        <f aca="false">IF(A6="","",AND(M6&gt;=K6,M6&lt;=L6,J6="Active"))</f>
        <v/>
      </c>
      <c r="O6" s="8" t="str">
        <f aca="false">IF(A6="","",IF(D6="One-Time",M6=K6,IF(D6="Monthly",TRUE(),IF(D6="Quarterly",MOD(M6-K6,3)=0,IF(D6="Annually",MOD(M6-K6,12)=0,FALSE())))))</f>
        <v/>
      </c>
      <c r="P6" s="8" t="str">
        <f aca="false">IF(A6="","",AND(N6,O6))</f>
        <v/>
      </c>
      <c r="Q6" s="8" t="str">
        <f aca="false">IF(A6="","",IF(D6="One-Time",DAY(F6),MIN(E6,DAY(DATE('Bill Calendar'!$B$3,'Bill Calendar'!$D$3+1,1)-1))))</f>
        <v/>
      </c>
      <c r="R6" s="10" t="str">
        <f aca="false">IF(A6="","",IF(P6,DATE('Bill Calendar'!$B$3,'Bill Calendar'!$D$3,Q6),""))</f>
        <v/>
      </c>
    </row>
    <row r="7" customFormat="false" ht="15" hidden="false" customHeight="false" outlineLevel="0" collapsed="false">
      <c r="A7" s="8"/>
      <c r="B7" s="8"/>
      <c r="C7" s="9"/>
      <c r="D7" s="8"/>
      <c r="E7" s="8"/>
      <c r="F7" s="10"/>
      <c r="G7" s="10"/>
      <c r="H7" s="8"/>
      <c r="I7" s="8"/>
      <c r="J7" s="8"/>
      <c r="K7" s="8" t="str">
        <f aca="false">IF(A7="","",YEAR(F7)*12+MONTH(F7))</f>
        <v/>
      </c>
      <c r="L7" s="8" t="str">
        <f aca="false">IF(A7="","",IF(G7="",999999,YEAR(G7)*12+MONTH(G7)))</f>
        <v/>
      </c>
      <c r="M7" s="8" t="str">
        <f aca="false">IF(A7="","",'Bill Calendar'!$B$3*12+'Bill Calendar'!$D$3)</f>
        <v/>
      </c>
      <c r="N7" s="8" t="str">
        <f aca="false">IF(A7="","",AND(M7&gt;=K7,M7&lt;=L7,J7="Active"))</f>
        <v/>
      </c>
      <c r="O7" s="8" t="str">
        <f aca="false">IF(A7="","",IF(D7="One-Time",M7=K7,IF(D7="Monthly",TRUE(),IF(D7="Quarterly",MOD(M7-K7,3)=0,IF(D7="Annually",MOD(M7-K7,12)=0,FALSE())))))</f>
        <v/>
      </c>
      <c r="P7" s="8" t="str">
        <f aca="false">IF(A7="","",AND(N7,O7))</f>
        <v/>
      </c>
      <c r="Q7" s="8" t="str">
        <f aca="false">IF(A7="","",IF(D7="One-Time",DAY(F7),MIN(E7,DAY(DATE('Bill Calendar'!$B$3,'Bill Calendar'!$D$3+1,1)-1))))</f>
        <v/>
      </c>
      <c r="R7" s="10" t="str">
        <f aca="false">IF(A7="","",IF(P7,DATE('Bill Calendar'!$B$3,'Bill Calendar'!$D$3,Q7),""))</f>
        <v/>
      </c>
    </row>
    <row r="8" customFormat="false" ht="15" hidden="false" customHeight="false" outlineLevel="0" collapsed="false">
      <c r="A8" s="8"/>
      <c r="B8" s="8"/>
      <c r="C8" s="9"/>
      <c r="D8" s="8"/>
      <c r="E8" s="8"/>
      <c r="F8" s="10"/>
      <c r="G8" s="10"/>
      <c r="H8" s="8"/>
      <c r="I8" s="8"/>
      <c r="J8" s="8"/>
      <c r="K8" s="8" t="str">
        <f aca="false">IF(A8="","",YEAR(F8)*12+MONTH(F8))</f>
        <v/>
      </c>
      <c r="L8" s="8" t="str">
        <f aca="false">IF(A8="","",IF(G8="",999999,YEAR(G8)*12+MONTH(G8)))</f>
        <v/>
      </c>
      <c r="M8" s="8" t="str">
        <f aca="false">IF(A8="","",'Bill Calendar'!$B$3*12+'Bill Calendar'!$D$3)</f>
        <v/>
      </c>
      <c r="N8" s="8" t="str">
        <f aca="false">IF(A8="","",AND(M8&gt;=K8,M8&lt;=L8,J8="Active"))</f>
        <v/>
      </c>
      <c r="O8" s="8" t="str">
        <f aca="false">IF(A8="","",IF(D8="One-Time",M8=K8,IF(D8="Monthly",TRUE(),IF(D8="Quarterly",MOD(M8-K8,3)=0,IF(D8="Annually",MOD(M8-K8,12)=0,FALSE())))))</f>
        <v/>
      </c>
      <c r="P8" s="8" t="str">
        <f aca="false">IF(A8="","",AND(N8,O8))</f>
        <v/>
      </c>
      <c r="Q8" s="8" t="str">
        <f aca="false">IF(A8="","",IF(D8="One-Time",DAY(F8),MIN(E8,DAY(DATE('Bill Calendar'!$B$3,'Bill Calendar'!$D$3+1,1)-1))))</f>
        <v/>
      </c>
      <c r="R8" s="10" t="str">
        <f aca="false">IF(A8="","",IF(P8,DATE('Bill Calendar'!$B$3,'Bill Calendar'!$D$3,Q8),""))</f>
        <v/>
      </c>
    </row>
    <row r="9" customFormat="false" ht="15" hidden="false" customHeight="false" outlineLevel="0" collapsed="false">
      <c r="A9" s="8"/>
      <c r="B9" s="8"/>
      <c r="C9" s="9"/>
      <c r="D9" s="8"/>
      <c r="E9" s="8"/>
      <c r="F9" s="10"/>
      <c r="G9" s="10"/>
      <c r="H9" s="8"/>
      <c r="I9" s="8"/>
      <c r="J9" s="8"/>
      <c r="K9" s="8" t="str">
        <f aca="false">IF(A9="","",YEAR(F9)*12+MONTH(F9))</f>
        <v/>
      </c>
      <c r="L9" s="8" t="str">
        <f aca="false">IF(A9="","",IF(G9="",999999,YEAR(G9)*12+MONTH(G9)))</f>
        <v/>
      </c>
      <c r="M9" s="8" t="str">
        <f aca="false">IF(A9="","",'Bill Calendar'!$B$3*12+'Bill Calendar'!$D$3)</f>
        <v/>
      </c>
      <c r="N9" s="8" t="str">
        <f aca="false">IF(A9="","",AND(M9&gt;=K9,M9&lt;=L9,J9="Active"))</f>
        <v/>
      </c>
      <c r="O9" s="8" t="str">
        <f aca="false">IF(A9="","",IF(D9="One-Time",M9=K9,IF(D9="Monthly",TRUE(),IF(D9="Quarterly",MOD(M9-K9,3)=0,IF(D9="Annually",MOD(M9-K9,12)=0,FALSE())))))</f>
        <v/>
      </c>
      <c r="P9" s="8" t="str">
        <f aca="false">IF(A9="","",AND(N9,O9))</f>
        <v/>
      </c>
      <c r="Q9" s="8" t="str">
        <f aca="false">IF(A9="","",IF(D9="One-Time",DAY(F9),MIN(E9,DAY(DATE('Bill Calendar'!$B$3,'Bill Calendar'!$D$3+1,1)-1))))</f>
        <v/>
      </c>
      <c r="R9" s="10" t="str">
        <f aca="false">IF(A9="","",IF(P9,DATE('Bill Calendar'!$B$3,'Bill Calendar'!$D$3,Q9),""))</f>
        <v/>
      </c>
    </row>
    <row r="10" customFormat="false" ht="15" hidden="false" customHeight="false" outlineLevel="0" collapsed="false">
      <c r="A10" s="8"/>
      <c r="B10" s="8"/>
      <c r="C10" s="9"/>
      <c r="D10" s="8"/>
      <c r="E10" s="8"/>
      <c r="F10" s="10"/>
      <c r="G10" s="10"/>
      <c r="H10" s="8"/>
      <c r="I10" s="8"/>
      <c r="J10" s="8"/>
      <c r="K10" s="8" t="str">
        <f aca="false">IF(A10="","",YEAR(F10)*12+MONTH(F10))</f>
        <v/>
      </c>
      <c r="L10" s="8" t="str">
        <f aca="false">IF(A10="","",IF(G10="",999999,YEAR(G10)*12+MONTH(G10)))</f>
        <v/>
      </c>
      <c r="M10" s="8" t="str">
        <f aca="false">IF(A10="","",'Bill Calendar'!$B$3*12+'Bill Calendar'!$D$3)</f>
        <v/>
      </c>
      <c r="N10" s="8" t="str">
        <f aca="false">IF(A10="","",AND(M10&gt;=K10,M10&lt;=L10,J10="Active"))</f>
        <v/>
      </c>
      <c r="O10" s="8" t="str">
        <f aca="false">IF(A10="","",IF(D10="One-Time",M10=K10,IF(D10="Monthly",TRUE(),IF(D10="Quarterly",MOD(M10-K10,3)=0,IF(D10="Annually",MOD(M10-K10,12)=0,FALSE())))))</f>
        <v/>
      </c>
      <c r="P10" s="8" t="str">
        <f aca="false">IF(A10="","",AND(N10,O10))</f>
        <v/>
      </c>
      <c r="Q10" s="8" t="str">
        <f aca="false">IF(A10="","",IF(D10="One-Time",DAY(F10),MIN(E10,DAY(DATE('Bill Calendar'!$B$3,'Bill Calendar'!$D$3+1,1)-1))))</f>
        <v/>
      </c>
      <c r="R10" s="10" t="str">
        <f aca="false">IF(A10="","",IF(P10,DATE('Bill Calendar'!$B$3,'Bill Calendar'!$D$3,Q10),""))</f>
        <v/>
      </c>
    </row>
    <row r="11" customFormat="false" ht="15" hidden="false" customHeight="false" outlineLevel="0" collapsed="false">
      <c r="A11" s="8"/>
      <c r="B11" s="8"/>
      <c r="C11" s="9"/>
      <c r="D11" s="8"/>
      <c r="E11" s="8"/>
      <c r="F11" s="10"/>
      <c r="G11" s="10"/>
      <c r="H11" s="8"/>
      <c r="I11" s="8"/>
      <c r="J11" s="8"/>
      <c r="K11" s="8" t="str">
        <f aca="false">IF(A11="","",YEAR(F11)*12+MONTH(F11))</f>
        <v/>
      </c>
      <c r="L11" s="8" t="str">
        <f aca="false">IF(A11="","",IF(G11="",999999,YEAR(G11)*12+MONTH(G11)))</f>
        <v/>
      </c>
      <c r="M11" s="8" t="str">
        <f aca="false">IF(A11="","",'Bill Calendar'!$B$3*12+'Bill Calendar'!$D$3)</f>
        <v/>
      </c>
      <c r="N11" s="8" t="str">
        <f aca="false">IF(A11="","",AND(M11&gt;=K11,M11&lt;=L11,J11="Active"))</f>
        <v/>
      </c>
      <c r="O11" s="8" t="str">
        <f aca="false">IF(A11="","",IF(D11="One-Time",M11=K11,IF(D11="Monthly",TRUE(),IF(D11="Quarterly",MOD(M11-K11,3)=0,IF(D11="Annually",MOD(M11-K11,12)=0,FALSE())))))</f>
        <v/>
      </c>
      <c r="P11" s="8" t="str">
        <f aca="false">IF(A11="","",AND(N11,O11))</f>
        <v/>
      </c>
      <c r="Q11" s="8" t="str">
        <f aca="false">IF(A11="","",IF(D11="One-Time",DAY(F11),MIN(E11,DAY(DATE('Bill Calendar'!$B$3,'Bill Calendar'!$D$3+1,1)-1))))</f>
        <v/>
      </c>
      <c r="R11" s="10" t="str">
        <f aca="false">IF(A11="","",IF(P11,DATE('Bill Calendar'!$B$3,'Bill Calendar'!$D$3,Q11),""))</f>
        <v/>
      </c>
    </row>
    <row r="12" customFormat="false" ht="15" hidden="false" customHeight="false" outlineLevel="0" collapsed="false">
      <c r="A12" s="8"/>
      <c r="B12" s="8"/>
      <c r="C12" s="9"/>
      <c r="D12" s="8"/>
      <c r="E12" s="8"/>
      <c r="F12" s="10"/>
      <c r="G12" s="10"/>
      <c r="H12" s="8"/>
      <c r="I12" s="8"/>
      <c r="J12" s="8"/>
      <c r="K12" s="8" t="str">
        <f aca="false">IF(A12="","",YEAR(F12)*12+MONTH(F12))</f>
        <v/>
      </c>
      <c r="L12" s="8" t="str">
        <f aca="false">IF(A12="","",IF(G12="",999999,YEAR(G12)*12+MONTH(G12)))</f>
        <v/>
      </c>
      <c r="M12" s="8" t="str">
        <f aca="false">IF(A12="","",'Bill Calendar'!$B$3*12+'Bill Calendar'!$D$3)</f>
        <v/>
      </c>
      <c r="N12" s="8" t="str">
        <f aca="false">IF(A12="","",AND(M12&gt;=K12,M12&lt;=L12,J12="Active"))</f>
        <v/>
      </c>
      <c r="O12" s="8" t="str">
        <f aca="false">IF(A12="","",IF(D12="One-Time",M12=K12,IF(D12="Monthly",TRUE(),IF(D12="Quarterly",MOD(M12-K12,3)=0,IF(D12="Annually",MOD(M12-K12,12)=0,FALSE())))))</f>
        <v/>
      </c>
      <c r="P12" s="8" t="str">
        <f aca="false">IF(A12="","",AND(N12,O12))</f>
        <v/>
      </c>
      <c r="Q12" s="8" t="str">
        <f aca="false">IF(A12="","",IF(D12="One-Time",DAY(F12),MIN(E12,DAY(DATE('Bill Calendar'!$B$3,'Bill Calendar'!$D$3+1,1)-1))))</f>
        <v/>
      </c>
      <c r="R12" s="10" t="str">
        <f aca="false">IF(A12="","",IF(P12,DATE('Bill Calendar'!$B$3,'Bill Calendar'!$D$3,Q12),""))</f>
        <v/>
      </c>
    </row>
    <row r="13" customFormat="false" ht="15" hidden="false" customHeight="false" outlineLevel="0" collapsed="false">
      <c r="A13" s="8"/>
      <c r="B13" s="8"/>
      <c r="C13" s="9"/>
      <c r="D13" s="8"/>
      <c r="E13" s="8"/>
      <c r="F13" s="10"/>
      <c r="G13" s="10"/>
      <c r="H13" s="8"/>
      <c r="I13" s="8"/>
      <c r="J13" s="8"/>
      <c r="K13" s="8" t="str">
        <f aca="false">IF(A13="","",YEAR(F13)*12+MONTH(F13))</f>
        <v/>
      </c>
      <c r="L13" s="8" t="str">
        <f aca="false">IF(A13="","",IF(G13="",999999,YEAR(G13)*12+MONTH(G13)))</f>
        <v/>
      </c>
      <c r="M13" s="8" t="str">
        <f aca="false">IF(A13="","",'Bill Calendar'!$B$3*12+'Bill Calendar'!$D$3)</f>
        <v/>
      </c>
      <c r="N13" s="8" t="str">
        <f aca="false">IF(A13="","",AND(M13&gt;=K13,M13&lt;=L13,J13="Active"))</f>
        <v/>
      </c>
      <c r="O13" s="8" t="str">
        <f aca="false">IF(A13="","",IF(D13="One-Time",M13=K13,IF(D13="Monthly",TRUE(),IF(D13="Quarterly",MOD(M13-K13,3)=0,IF(D13="Annually",MOD(M13-K13,12)=0,FALSE())))))</f>
        <v/>
      </c>
      <c r="P13" s="8" t="str">
        <f aca="false">IF(A13="","",AND(N13,O13))</f>
        <v/>
      </c>
      <c r="Q13" s="8" t="str">
        <f aca="false">IF(A13="","",IF(D13="One-Time",DAY(F13),MIN(E13,DAY(DATE('Bill Calendar'!$B$3,'Bill Calendar'!$D$3+1,1)-1))))</f>
        <v/>
      </c>
      <c r="R13" s="10" t="str">
        <f aca="false">IF(A13="","",IF(P13,DATE('Bill Calendar'!$B$3,'Bill Calendar'!$D$3,Q13),""))</f>
        <v/>
      </c>
    </row>
    <row r="14" customFormat="false" ht="15" hidden="false" customHeight="false" outlineLevel="0" collapsed="false">
      <c r="A14" s="8"/>
      <c r="B14" s="8"/>
      <c r="C14" s="9"/>
      <c r="D14" s="8"/>
      <c r="E14" s="8"/>
      <c r="F14" s="10"/>
      <c r="G14" s="10"/>
      <c r="H14" s="8"/>
      <c r="I14" s="8"/>
      <c r="J14" s="8"/>
      <c r="K14" s="8" t="str">
        <f aca="false">IF(A14="","",YEAR(F14)*12+MONTH(F14))</f>
        <v/>
      </c>
      <c r="L14" s="8" t="str">
        <f aca="false">IF(A14="","",IF(G14="",999999,YEAR(G14)*12+MONTH(G14)))</f>
        <v/>
      </c>
      <c r="M14" s="8" t="str">
        <f aca="false">IF(A14="","",'Bill Calendar'!$B$3*12+'Bill Calendar'!$D$3)</f>
        <v/>
      </c>
      <c r="N14" s="8" t="str">
        <f aca="false">IF(A14="","",AND(M14&gt;=K14,M14&lt;=L14,J14="Active"))</f>
        <v/>
      </c>
      <c r="O14" s="8" t="str">
        <f aca="false">IF(A14="","",IF(D14="One-Time",M14=K14,IF(D14="Monthly",TRUE(),IF(D14="Quarterly",MOD(M14-K14,3)=0,IF(D14="Annually",MOD(M14-K14,12)=0,FALSE())))))</f>
        <v/>
      </c>
      <c r="P14" s="8" t="str">
        <f aca="false">IF(A14="","",AND(N14,O14))</f>
        <v/>
      </c>
      <c r="Q14" s="8" t="str">
        <f aca="false">IF(A14="","",IF(D14="One-Time",DAY(F14),MIN(E14,DAY(DATE('Bill Calendar'!$B$3,'Bill Calendar'!$D$3+1,1)-1))))</f>
        <v/>
      </c>
      <c r="R14" s="10" t="str">
        <f aca="false">IF(A14="","",IF(P14,DATE('Bill Calendar'!$B$3,'Bill Calendar'!$D$3,Q14),""))</f>
        <v/>
      </c>
    </row>
    <row r="15" customFormat="false" ht="15" hidden="false" customHeight="false" outlineLevel="0" collapsed="false">
      <c r="A15" s="8"/>
      <c r="B15" s="8"/>
      <c r="C15" s="9"/>
      <c r="D15" s="8"/>
      <c r="E15" s="8"/>
      <c r="F15" s="10"/>
      <c r="G15" s="10"/>
      <c r="H15" s="8"/>
      <c r="I15" s="8"/>
      <c r="J15" s="8"/>
      <c r="K15" s="8" t="str">
        <f aca="false">IF(A15="","",YEAR(F15)*12+MONTH(F15))</f>
        <v/>
      </c>
      <c r="L15" s="8" t="str">
        <f aca="false">IF(A15="","",IF(G15="",999999,YEAR(G15)*12+MONTH(G15)))</f>
        <v/>
      </c>
      <c r="M15" s="8" t="str">
        <f aca="false">IF(A15="","",'Bill Calendar'!$B$3*12+'Bill Calendar'!$D$3)</f>
        <v/>
      </c>
      <c r="N15" s="8" t="str">
        <f aca="false">IF(A15="","",AND(M15&gt;=K15,M15&lt;=L15,J15="Active"))</f>
        <v/>
      </c>
      <c r="O15" s="8" t="str">
        <f aca="false">IF(A15="","",IF(D15="One-Time",M15=K15,IF(D15="Monthly",TRUE(),IF(D15="Quarterly",MOD(M15-K15,3)=0,IF(D15="Annually",MOD(M15-K15,12)=0,FALSE())))))</f>
        <v/>
      </c>
      <c r="P15" s="8" t="str">
        <f aca="false">IF(A15="","",AND(N15,O15))</f>
        <v/>
      </c>
      <c r="Q15" s="8" t="str">
        <f aca="false">IF(A15="","",IF(D15="One-Time",DAY(F15),MIN(E15,DAY(DATE('Bill Calendar'!$B$3,'Bill Calendar'!$D$3+1,1)-1))))</f>
        <v/>
      </c>
      <c r="R15" s="10" t="str">
        <f aca="false">IF(A15="","",IF(P15,DATE('Bill Calendar'!$B$3,'Bill Calendar'!$D$3,Q15),""))</f>
        <v/>
      </c>
    </row>
    <row r="16" customFormat="false" ht="15" hidden="false" customHeight="false" outlineLevel="0" collapsed="false">
      <c r="A16" s="8"/>
      <c r="B16" s="8"/>
      <c r="C16" s="9"/>
      <c r="D16" s="8"/>
      <c r="E16" s="8"/>
      <c r="F16" s="10"/>
      <c r="G16" s="10"/>
      <c r="H16" s="8"/>
      <c r="I16" s="8"/>
      <c r="J16" s="8"/>
      <c r="K16" s="8" t="str">
        <f aca="false">IF(A16="","",YEAR(F16)*12+MONTH(F16))</f>
        <v/>
      </c>
      <c r="L16" s="8" t="str">
        <f aca="false">IF(A16="","",IF(G16="",999999,YEAR(G16)*12+MONTH(G16)))</f>
        <v/>
      </c>
      <c r="M16" s="8" t="str">
        <f aca="false">IF(A16="","",'Bill Calendar'!$B$3*12+'Bill Calendar'!$D$3)</f>
        <v/>
      </c>
      <c r="N16" s="8" t="str">
        <f aca="false">IF(A16="","",AND(M16&gt;=K16,M16&lt;=L16,J16="Active"))</f>
        <v/>
      </c>
      <c r="O16" s="8" t="str">
        <f aca="false">IF(A16="","",IF(D16="One-Time",M16=K16,IF(D16="Monthly",TRUE(),IF(D16="Quarterly",MOD(M16-K16,3)=0,IF(D16="Annually",MOD(M16-K16,12)=0,FALSE())))))</f>
        <v/>
      </c>
      <c r="P16" s="8" t="str">
        <f aca="false">IF(A16="","",AND(N16,O16))</f>
        <v/>
      </c>
      <c r="Q16" s="8" t="str">
        <f aca="false">IF(A16="","",IF(D16="One-Time",DAY(F16),MIN(E16,DAY(DATE('Bill Calendar'!$B$3,'Bill Calendar'!$D$3+1,1)-1))))</f>
        <v/>
      </c>
      <c r="R16" s="10" t="str">
        <f aca="false">IF(A16="","",IF(P16,DATE('Bill Calendar'!$B$3,'Bill Calendar'!$D$3,Q16),""))</f>
        <v/>
      </c>
    </row>
    <row r="17" customFormat="false" ht="15" hidden="false" customHeight="false" outlineLevel="0" collapsed="false">
      <c r="A17" s="8"/>
      <c r="B17" s="8"/>
      <c r="C17" s="9"/>
      <c r="D17" s="8"/>
      <c r="E17" s="8"/>
      <c r="F17" s="10"/>
      <c r="G17" s="10"/>
      <c r="H17" s="8"/>
      <c r="I17" s="8"/>
      <c r="J17" s="8"/>
      <c r="K17" s="8" t="str">
        <f aca="false">IF(A17="","",YEAR(F17)*12+MONTH(F17))</f>
        <v/>
      </c>
      <c r="L17" s="8" t="str">
        <f aca="false">IF(A17="","",IF(G17="",999999,YEAR(G17)*12+MONTH(G17)))</f>
        <v/>
      </c>
      <c r="M17" s="8" t="str">
        <f aca="false">IF(A17="","",'Bill Calendar'!$B$3*12+'Bill Calendar'!$D$3)</f>
        <v/>
      </c>
      <c r="N17" s="8" t="str">
        <f aca="false">IF(A17="","",AND(M17&gt;=K17,M17&lt;=L17,J17="Active"))</f>
        <v/>
      </c>
      <c r="O17" s="8" t="str">
        <f aca="false">IF(A17="","",IF(D17="One-Time",M17=K17,IF(D17="Monthly",TRUE(),IF(D17="Quarterly",MOD(M17-K17,3)=0,IF(D17="Annually",MOD(M17-K17,12)=0,FALSE())))))</f>
        <v/>
      </c>
      <c r="P17" s="8" t="str">
        <f aca="false">IF(A17="","",AND(N17,O17))</f>
        <v/>
      </c>
      <c r="Q17" s="8" t="str">
        <f aca="false">IF(A17="","",IF(D17="One-Time",DAY(F17),MIN(E17,DAY(DATE('Bill Calendar'!$B$3,'Bill Calendar'!$D$3+1,1)-1))))</f>
        <v/>
      </c>
      <c r="R17" s="10" t="str">
        <f aca="false">IF(A17="","",IF(P17,DATE('Bill Calendar'!$B$3,'Bill Calendar'!$D$3,Q17),""))</f>
        <v/>
      </c>
    </row>
    <row r="18" customFormat="false" ht="15" hidden="false" customHeight="false" outlineLevel="0" collapsed="false">
      <c r="A18" s="8"/>
      <c r="B18" s="8"/>
      <c r="C18" s="9"/>
      <c r="D18" s="8"/>
      <c r="E18" s="8"/>
      <c r="F18" s="10"/>
      <c r="G18" s="10"/>
      <c r="H18" s="8"/>
      <c r="I18" s="8"/>
      <c r="J18" s="8"/>
      <c r="K18" s="8" t="str">
        <f aca="false">IF(A18="","",YEAR(F18)*12+MONTH(F18))</f>
        <v/>
      </c>
      <c r="L18" s="8" t="str">
        <f aca="false">IF(A18="","",IF(G18="",999999,YEAR(G18)*12+MONTH(G18)))</f>
        <v/>
      </c>
      <c r="M18" s="8" t="str">
        <f aca="false">IF(A18="","",'Bill Calendar'!$B$3*12+'Bill Calendar'!$D$3)</f>
        <v/>
      </c>
      <c r="N18" s="8" t="str">
        <f aca="false">IF(A18="","",AND(M18&gt;=K18,M18&lt;=L18,J18="Active"))</f>
        <v/>
      </c>
      <c r="O18" s="8" t="str">
        <f aca="false">IF(A18="","",IF(D18="One-Time",M18=K18,IF(D18="Monthly",TRUE(),IF(D18="Quarterly",MOD(M18-K18,3)=0,IF(D18="Annually",MOD(M18-K18,12)=0,FALSE())))))</f>
        <v/>
      </c>
      <c r="P18" s="8" t="str">
        <f aca="false">IF(A18="","",AND(N18,O18))</f>
        <v/>
      </c>
      <c r="Q18" s="8" t="str">
        <f aca="false">IF(A18="","",IF(D18="One-Time",DAY(F18),MIN(E18,DAY(DATE('Bill Calendar'!$B$3,'Bill Calendar'!$D$3+1,1)-1))))</f>
        <v/>
      </c>
      <c r="R18" s="10" t="str">
        <f aca="false">IF(A18="","",IF(P18,DATE('Bill Calendar'!$B$3,'Bill Calendar'!$D$3,Q18),""))</f>
        <v/>
      </c>
    </row>
    <row r="19" customFormat="false" ht="15" hidden="false" customHeight="false" outlineLevel="0" collapsed="false">
      <c r="A19" s="8"/>
      <c r="B19" s="8"/>
      <c r="C19" s="9"/>
      <c r="D19" s="8"/>
      <c r="E19" s="8"/>
      <c r="F19" s="10"/>
      <c r="G19" s="10"/>
      <c r="H19" s="8"/>
      <c r="I19" s="8"/>
      <c r="J19" s="8"/>
      <c r="K19" s="8" t="str">
        <f aca="false">IF(A19="","",YEAR(F19)*12+MONTH(F19))</f>
        <v/>
      </c>
      <c r="L19" s="8" t="str">
        <f aca="false">IF(A19="","",IF(G19="",999999,YEAR(G19)*12+MONTH(G19)))</f>
        <v/>
      </c>
      <c r="M19" s="8" t="str">
        <f aca="false">IF(A19="","",'Bill Calendar'!$B$3*12+'Bill Calendar'!$D$3)</f>
        <v/>
      </c>
      <c r="N19" s="8" t="str">
        <f aca="false">IF(A19="","",AND(M19&gt;=K19,M19&lt;=L19,J19="Active"))</f>
        <v/>
      </c>
      <c r="O19" s="8" t="str">
        <f aca="false">IF(A19="","",IF(D19="One-Time",M19=K19,IF(D19="Monthly",TRUE(),IF(D19="Quarterly",MOD(M19-K19,3)=0,IF(D19="Annually",MOD(M19-K19,12)=0,FALSE())))))</f>
        <v/>
      </c>
      <c r="P19" s="8" t="str">
        <f aca="false">IF(A19="","",AND(N19,O19))</f>
        <v/>
      </c>
      <c r="Q19" s="8" t="str">
        <f aca="false">IF(A19="","",IF(D19="One-Time",DAY(F19),MIN(E19,DAY(DATE('Bill Calendar'!$B$3,'Bill Calendar'!$D$3+1,1)-1))))</f>
        <v/>
      </c>
      <c r="R19" s="10" t="str">
        <f aca="false">IF(A19="","",IF(P19,DATE('Bill Calendar'!$B$3,'Bill Calendar'!$D$3,Q19),""))</f>
        <v/>
      </c>
    </row>
    <row r="20" customFormat="false" ht="15" hidden="false" customHeight="false" outlineLevel="0" collapsed="false">
      <c r="A20" s="8"/>
      <c r="B20" s="8"/>
      <c r="C20" s="9"/>
      <c r="D20" s="8"/>
      <c r="E20" s="8"/>
      <c r="F20" s="10"/>
      <c r="G20" s="10"/>
      <c r="H20" s="8"/>
      <c r="I20" s="8"/>
      <c r="J20" s="8"/>
      <c r="K20" s="8" t="str">
        <f aca="false">IF(A20="","",YEAR(F20)*12+MONTH(F20))</f>
        <v/>
      </c>
      <c r="L20" s="8" t="str">
        <f aca="false">IF(A20="","",IF(G20="",999999,YEAR(G20)*12+MONTH(G20)))</f>
        <v/>
      </c>
      <c r="M20" s="8" t="str">
        <f aca="false">IF(A20="","",'Bill Calendar'!$B$3*12+'Bill Calendar'!$D$3)</f>
        <v/>
      </c>
      <c r="N20" s="8" t="str">
        <f aca="false">IF(A20="","",AND(M20&gt;=K20,M20&lt;=L20,J20="Active"))</f>
        <v/>
      </c>
      <c r="O20" s="8" t="str">
        <f aca="false">IF(A20="","",IF(D20="One-Time",M20=K20,IF(D20="Monthly",TRUE(),IF(D20="Quarterly",MOD(M20-K20,3)=0,IF(D20="Annually",MOD(M20-K20,12)=0,FALSE())))))</f>
        <v/>
      </c>
      <c r="P20" s="8" t="str">
        <f aca="false">IF(A20="","",AND(N20,O20))</f>
        <v/>
      </c>
      <c r="Q20" s="8" t="str">
        <f aca="false">IF(A20="","",IF(D20="One-Time",DAY(F20),MIN(E20,DAY(DATE('Bill Calendar'!$B$3,'Bill Calendar'!$D$3+1,1)-1))))</f>
        <v/>
      </c>
      <c r="R20" s="10" t="str">
        <f aca="false">IF(A20="","",IF(P20,DATE('Bill Calendar'!$B$3,'Bill Calendar'!$D$3,Q20),""))</f>
        <v/>
      </c>
    </row>
    <row r="21" customFormat="false" ht="15" hidden="false" customHeight="false" outlineLevel="0" collapsed="false">
      <c r="A21" s="8"/>
      <c r="B21" s="8"/>
      <c r="C21" s="9"/>
      <c r="D21" s="8"/>
      <c r="E21" s="8"/>
      <c r="F21" s="10"/>
      <c r="G21" s="10"/>
      <c r="H21" s="8"/>
      <c r="I21" s="8"/>
      <c r="J21" s="8"/>
      <c r="K21" s="8" t="str">
        <f aca="false">IF(A21="","",YEAR(F21)*12+MONTH(F21))</f>
        <v/>
      </c>
      <c r="L21" s="8" t="str">
        <f aca="false">IF(A21="","",IF(G21="",999999,YEAR(G21)*12+MONTH(G21)))</f>
        <v/>
      </c>
      <c r="M21" s="8" t="str">
        <f aca="false">IF(A21="","",'Bill Calendar'!$B$3*12+'Bill Calendar'!$D$3)</f>
        <v/>
      </c>
      <c r="N21" s="8" t="str">
        <f aca="false">IF(A21="","",AND(M21&gt;=K21,M21&lt;=L21,J21="Active"))</f>
        <v/>
      </c>
      <c r="O21" s="8" t="str">
        <f aca="false">IF(A21="","",IF(D21="One-Time",M21=K21,IF(D21="Monthly",TRUE(),IF(D21="Quarterly",MOD(M21-K21,3)=0,IF(D21="Annually",MOD(M21-K21,12)=0,FALSE())))))</f>
        <v/>
      </c>
      <c r="P21" s="8" t="str">
        <f aca="false">IF(A21="","",AND(N21,O21))</f>
        <v/>
      </c>
      <c r="Q21" s="8" t="str">
        <f aca="false">IF(A21="","",IF(D21="One-Time",DAY(F21),MIN(E21,DAY(DATE('Bill Calendar'!$B$3,'Bill Calendar'!$D$3+1,1)-1))))</f>
        <v/>
      </c>
      <c r="R21" s="10" t="str">
        <f aca="false">IF(A21="","",IF(P21,DATE('Bill Calendar'!$B$3,'Bill Calendar'!$D$3,Q21),""))</f>
        <v/>
      </c>
    </row>
    <row r="22" customFormat="false" ht="15" hidden="false" customHeight="false" outlineLevel="0" collapsed="false">
      <c r="A22" s="8"/>
      <c r="B22" s="8"/>
      <c r="C22" s="9"/>
      <c r="D22" s="8"/>
      <c r="E22" s="8"/>
      <c r="F22" s="10"/>
      <c r="G22" s="10"/>
      <c r="H22" s="8"/>
      <c r="I22" s="8"/>
      <c r="J22" s="8"/>
      <c r="K22" s="8" t="str">
        <f aca="false">IF(A22="","",YEAR(F22)*12+MONTH(F22))</f>
        <v/>
      </c>
      <c r="L22" s="8" t="str">
        <f aca="false">IF(A22="","",IF(G22="",999999,YEAR(G22)*12+MONTH(G22)))</f>
        <v/>
      </c>
      <c r="M22" s="8" t="str">
        <f aca="false">IF(A22="","",'Bill Calendar'!$B$3*12+'Bill Calendar'!$D$3)</f>
        <v/>
      </c>
      <c r="N22" s="8" t="str">
        <f aca="false">IF(A22="","",AND(M22&gt;=K22,M22&lt;=L22,J22="Active"))</f>
        <v/>
      </c>
      <c r="O22" s="8" t="str">
        <f aca="false">IF(A22="","",IF(D22="One-Time",M22=K22,IF(D22="Monthly",TRUE(),IF(D22="Quarterly",MOD(M22-K22,3)=0,IF(D22="Annually",MOD(M22-K22,12)=0,FALSE())))))</f>
        <v/>
      </c>
      <c r="P22" s="8" t="str">
        <f aca="false">IF(A22="","",AND(N22,O22))</f>
        <v/>
      </c>
      <c r="Q22" s="8" t="str">
        <f aca="false">IF(A22="","",IF(D22="One-Time",DAY(F22),MIN(E22,DAY(DATE('Bill Calendar'!$B$3,'Bill Calendar'!$D$3+1,1)-1))))</f>
        <v/>
      </c>
      <c r="R22" s="10" t="str">
        <f aca="false">IF(A22="","",IF(P22,DATE('Bill Calendar'!$B$3,'Bill Calendar'!$D$3,Q22),""))</f>
        <v/>
      </c>
    </row>
    <row r="23" customFormat="false" ht="15" hidden="false" customHeight="false" outlineLevel="0" collapsed="false">
      <c r="A23" s="8"/>
      <c r="B23" s="8"/>
      <c r="C23" s="9"/>
      <c r="D23" s="8"/>
      <c r="E23" s="8"/>
      <c r="F23" s="10"/>
      <c r="G23" s="10"/>
      <c r="H23" s="8"/>
      <c r="I23" s="8"/>
      <c r="J23" s="8"/>
      <c r="K23" s="8" t="str">
        <f aca="false">IF(A23="","",YEAR(F23)*12+MONTH(F23))</f>
        <v/>
      </c>
      <c r="L23" s="8" t="str">
        <f aca="false">IF(A23="","",IF(G23="",999999,YEAR(G23)*12+MONTH(G23)))</f>
        <v/>
      </c>
      <c r="M23" s="8" t="str">
        <f aca="false">IF(A23="","",'Bill Calendar'!$B$3*12+'Bill Calendar'!$D$3)</f>
        <v/>
      </c>
      <c r="N23" s="8" t="str">
        <f aca="false">IF(A23="","",AND(M23&gt;=K23,M23&lt;=L23,J23="Active"))</f>
        <v/>
      </c>
      <c r="O23" s="8" t="str">
        <f aca="false">IF(A23="","",IF(D23="One-Time",M23=K23,IF(D23="Monthly",TRUE(),IF(D23="Quarterly",MOD(M23-K23,3)=0,IF(D23="Annually",MOD(M23-K23,12)=0,FALSE())))))</f>
        <v/>
      </c>
      <c r="P23" s="8" t="str">
        <f aca="false">IF(A23="","",AND(N23,O23))</f>
        <v/>
      </c>
      <c r="Q23" s="8" t="str">
        <f aca="false">IF(A23="","",IF(D23="One-Time",DAY(F23),MIN(E23,DAY(DATE('Bill Calendar'!$B$3,'Bill Calendar'!$D$3+1,1)-1))))</f>
        <v/>
      </c>
      <c r="R23" s="10" t="str">
        <f aca="false">IF(A23="","",IF(P23,DATE('Bill Calendar'!$B$3,'Bill Calendar'!$D$3,Q23),""))</f>
        <v/>
      </c>
    </row>
    <row r="24" customFormat="false" ht="15" hidden="false" customHeight="false" outlineLevel="0" collapsed="false">
      <c r="A24" s="8"/>
      <c r="B24" s="8"/>
      <c r="C24" s="9"/>
      <c r="D24" s="8"/>
      <c r="E24" s="8"/>
      <c r="F24" s="10"/>
      <c r="G24" s="10"/>
      <c r="H24" s="8"/>
      <c r="I24" s="8"/>
      <c r="J24" s="8"/>
      <c r="K24" s="8" t="str">
        <f aca="false">IF(A24="","",YEAR(F24)*12+MONTH(F24))</f>
        <v/>
      </c>
      <c r="L24" s="8" t="str">
        <f aca="false">IF(A24="","",IF(G24="",999999,YEAR(G24)*12+MONTH(G24)))</f>
        <v/>
      </c>
      <c r="M24" s="8" t="str">
        <f aca="false">IF(A24="","",'Bill Calendar'!$B$3*12+'Bill Calendar'!$D$3)</f>
        <v/>
      </c>
      <c r="N24" s="8" t="str">
        <f aca="false">IF(A24="","",AND(M24&gt;=K24,M24&lt;=L24,J24="Active"))</f>
        <v/>
      </c>
      <c r="O24" s="8" t="str">
        <f aca="false">IF(A24="","",IF(D24="One-Time",M24=K24,IF(D24="Monthly",TRUE(),IF(D24="Quarterly",MOD(M24-K24,3)=0,IF(D24="Annually",MOD(M24-K24,12)=0,FALSE())))))</f>
        <v/>
      </c>
      <c r="P24" s="8" t="str">
        <f aca="false">IF(A24="","",AND(N24,O24))</f>
        <v/>
      </c>
      <c r="Q24" s="8" t="str">
        <f aca="false">IF(A24="","",IF(D24="One-Time",DAY(F24),MIN(E24,DAY(DATE('Bill Calendar'!$B$3,'Bill Calendar'!$D$3+1,1)-1))))</f>
        <v/>
      </c>
      <c r="R24" s="10" t="str">
        <f aca="false">IF(A24="","",IF(P24,DATE('Bill Calendar'!$B$3,'Bill Calendar'!$D$3,Q24),""))</f>
        <v/>
      </c>
    </row>
    <row r="25" customFormat="false" ht="15" hidden="false" customHeight="false" outlineLevel="0" collapsed="false">
      <c r="A25" s="8"/>
      <c r="B25" s="8"/>
      <c r="C25" s="9"/>
      <c r="D25" s="8"/>
      <c r="E25" s="8"/>
      <c r="F25" s="10"/>
      <c r="G25" s="10"/>
      <c r="H25" s="8"/>
      <c r="I25" s="8"/>
      <c r="J25" s="8"/>
      <c r="K25" s="8" t="str">
        <f aca="false">IF(A25="","",YEAR(F25)*12+MONTH(F25))</f>
        <v/>
      </c>
      <c r="L25" s="8" t="str">
        <f aca="false">IF(A25="","",IF(G25="",999999,YEAR(G25)*12+MONTH(G25)))</f>
        <v/>
      </c>
      <c r="M25" s="8" t="str">
        <f aca="false">IF(A25="","",'Bill Calendar'!$B$3*12+'Bill Calendar'!$D$3)</f>
        <v/>
      </c>
      <c r="N25" s="8" t="str">
        <f aca="false">IF(A25="","",AND(M25&gt;=K25,M25&lt;=L25,J25="Active"))</f>
        <v/>
      </c>
      <c r="O25" s="8" t="str">
        <f aca="false">IF(A25="","",IF(D25="One-Time",M25=K25,IF(D25="Monthly",TRUE(),IF(D25="Quarterly",MOD(M25-K25,3)=0,IF(D25="Annually",MOD(M25-K25,12)=0,FALSE())))))</f>
        <v/>
      </c>
      <c r="P25" s="8" t="str">
        <f aca="false">IF(A25="","",AND(N25,O25))</f>
        <v/>
      </c>
      <c r="Q25" s="8" t="str">
        <f aca="false">IF(A25="","",IF(D25="One-Time",DAY(F25),MIN(E25,DAY(DATE('Bill Calendar'!$B$3,'Bill Calendar'!$D$3+1,1)-1))))</f>
        <v/>
      </c>
      <c r="R25" s="10" t="str">
        <f aca="false">IF(A25="","",IF(P25,DATE('Bill Calendar'!$B$3,'Bill Calendar'!$D$3,Q25),""))</f>
        <v/>
      </c>
    </row>
    <row r="26" customFormat="false" ht="15" hidden="false" customHeight="false" outlineLevel="0" collapsed="false">
      <c r="A26" s="8"/>
      <c r="B26" s="8"/>
      <c r="C26" s="9"/>
      <c r="D26" s="8"/>
      <c r="E26" s="8"/>
      <c r="F26" s="10"/>
      <c r="G26" s="10"/>
      <c r="H26" s="8"/>
      <c r="I26" s="8"/>
      <c r="J26" s="8"/>
      <c r="K26" s="8" t="str">
        <f aca="false">IF(A26="","",YEAR(F26)*12+MONTH(F26))</f>
        <v/>
      </c>
      <c r="L26" s="8" t="str">
        <f aca="false">IF(A26="","",IF(G26="",999999,YEAR(G26)*12+MONTH(G26)))</f>
        <v/>
      </c>
      <c r="M26" s="8" t="str">
        <f aca="false">IF(A26="","",'Bill Calendar'!$B$3*12+'Bill Calendar'!$D$3)</f>
        <v/>
      </c>
      <c r="N26" s="8" t="str">
        <f aca="false">IF(A26="","",AND(M26&gt;=K26,M26&lt;=L26,J26="Active"))</f>
        <v/>
      </c>
      <c r="O26" s="8" t="str">
        <f aca="false">IF(A26="","",IF(D26="One-Time",M26=K26,IF(D26="Monthly",TRUE(),IF(D26="Quarterly",MOD(M26-K26,3)=0,IF(D26="Annually",MOD(M26-K26,12)=0,FALSE())))))</f>
        <v/>
      </c>
      <c r="P26" s="8" t="str">
        <f aca="false">IF(A26="","",AND(N26,O26))</f>
        <v/>
      </c>
      <c r="Q26" s="8" t="str">
        <f aca="false">IF(A26="","",IF(D26="One-Time",DAY(F26),MIN(E26,DAY(DATE('Bill Calendar'!$B$3,'Bill Calendar'!$D$3+1,1)-1))))</f>
        <v/>
      </c>
      <c r="R26" s="10" t="str">
        <f aca="false">IF(A26="","",IF(P26,DATE('Bill Calendar'!$B$3,'Bill Calendar'!$D$3,Q26),""))</f>
        <v/>
      </c>
    </row>
    <row r="27" customFormat="false" ht="15" hidden="false" customHeight="false" outlineLevel="0" collapsed="false">
      <c r="A27" s="8"/>
      <c r="B27" s="8"/>
      <c r="C27" s="9"/>
      <c r="D27" s="8"/>
      <c r="E27" s="8"/>
      <c r="F27" s="10"/>
      <c r="G27" s="10"/>
      <c r="H27" s="8"/>
      <c r="I27" s="8"/>
      <c r="J27" s="8"/>
      <c r="K27" s="8" t="str">
        <f aca="false">IF(A27="","",YEAR(F27)*12+MONTH(F27))</f>
        <v/>
      </c>
      <c r="L27" s="8" t="str">
        <f aca="false">IF(A27="","",IF(G27="",999999,YEAR(G27)*12+MONTH(G27)))</f>
        <v/>
      </c>
      <c r="M27" s="8" t="str">
        <f aca="false">IF(A27="","",'Bill Calendar'!$B$3*12+'Bill Calendar'!$D$3)</f>
        <v/>
      </c>
      <c r="N27" s="8" t="str">
        <f aca="false">IF(A27="","",AND(M27&gt;=K27,M27&lt;=L27,J27="Active"))</f>
        <v/>
      </c>
      <c r="O27" s="8" t="str">
        <f aca="false">IF(A27="","",IF(D27="One-Time",M27=K27,IF(D27="Monthly",TRUE(),IF(D27="Quarterly",MOD(M27-K27,3)=0,IF(D27="Annually",MOD(M27-K27,12)=0,FALSE())))))</f>
        <v/>
      </c>
      <c r="P27" s="8" t="str">
        <f aca="false">IF(A27="","",AND(N27,O27))</f>
        <v/>
      </c>
      <c r="Q27" s="8" t="str">
        <f aca="false">IF(A27="","",IF(D27="One-Time",DAY(F27),MIN(E27,DAY(DATE('Bill Calendar'!$B$3,'Bill Calendar'!$D$3+1,1)-1))))</f>
        <v/>
      </c>
      <c r="R27" s="10" t="str">
        <f aca="false">IF(A27="","",IF(P27,DATE('Bill Calendar'!$B$3,'Bill Calendar'!$D$3,Q27),""))</f>
        <v/>
      </c>
    </row>
    <row r="28" customFormat="false" ht="15" hidden="false" customHeight="false" outlineLevel="0" collapsed="false">
      <c r="A28" s="8"/>
      <c r="B28" s="8"/>
      <c r="C28" s="9"/>
      <c r="D28" s="8"/>
      <c r="E28" s="8"/>
      <c r="F28" s="10"/>
      <c r="G28" s="10"/>
      <c r="H28" s="8"/>
      <c r="I28" s="8"/>
      <c r="J28" s="8"/>
      <c r="K28" s="8" t="str">
        <f aca="false">IF(A28="","",YEAR(F28)*12+MONTH(F28))</f>
        <v/>
      </c>
      <c r="L28" s="8" t="str">
        <f aca="false">IF(A28="","",IF(G28="",999999,YEAR(G28)*12+MONTH(G28)))</f>
        <v/>
      </c>
      <c r="M28" s="8" t="str">
        <f aca="false">IF(A28="","",'Bill Calendar'!$B$3*12+'Bill Calendar'!$D$3)</f>
        <v/>
      </c>
      <c r="N28" s="8" t="str">
        <f aca="false">IF(A28="","",AND(M28&gt;=K28,M28&lt;=L28,J28="Active"))</f>
        <v/>
      </c>
      <c r="O28" s="8" t="str">
        <f aca="false">IF(A28="","",IF(D28="One-Time",M28=K28,IF(D28="Monthly",TRUE(),IF(D28="Quarterly",MOD(M28-K28,3)=0,IF(D28="Annually",MOD(M28-K28,12)=0,FALSE())))))</f>
        <v/>
      </c>
      <c r="P28" s="8" t="str">
        <f aca="false">IF(A28="","",AND(N28,O28))</f>
        <v/>
      </c>
      <c r="Q28" s="8" t="str">
        <f aca="false">IF(A28="","",IF(D28="One-Time",DAY(F28),MIN(E28,DAY(DATE('Bill Calendar'!$B$3,'Bill Calendar'!$D$3+1,1)-1))))</f>
        <v/>
      </c>
      <c r="R28" s="10" t="str">
        <f aca="false">IF(A28="","",IF(P28,DATE('Bill Calendar'!$B$3,'Bill Calendar'!$D$3,Q28),""))</f>
        <v/>
      </c>
    </row>
    <row r="29" customFormat="false" ht="15" hidden="false" customHeight="false" outlineLevel="0" collapsed="false">
      <c r="A29" s="8"/>
      <c r="B29" s="8"/>
      <c r="C29" s="9"/>
      <c r="D29" s="8"/>
      <c r="E29" s="8"/>
      <c r="F29" s="10"/>
      <c r="G29" s="10"/>
      <c r="H29" s="8"/>
      <c r="I29" s="8"/>
      <c r="J29" s="8"/>
      <c r="K29" s="8" t="str">
        <f aca="false">IF(A29="","",YEAR(F29)*12+MONTH(F29))</f>
        <v/>
      </c>
      <c r="L29" s="8" t="str">
        <f aca="false">IF(A29="","",IF(G29="",999999,YEAR(G29)*12+MONTH(G29)))</f>
        <v/>
      </c>
      <c r="M29" s="8" t="str">
        <f aca="false">IF(A29="","",'Bill Calendar'!$B$3*12+'Bill Calendar'!$D$3)</f>
        <v/>
      </c>
      <c r="N29" s="8" t="str">
        <f aca="false">IF(A29="","",AND(M29&gt;=K29,M29&lt;=L29,J29="Active"))</f>
        <v/>
      </c>
      <c r="O29" s="8" t="str">
        <f aca="false">IF(A29="","",IF(D29="One-Time",M29=K29,IF(D29="Monthly",TRUE(),IF(D29="Quarterly",MOD(M29-K29,3)=0,IF(D29="Annually",MOD(M29-K29,12)=0,FALSE())))))</f>
        <v/>
      </c>
      <c r="P29" s="8" t="str">
        <f aca="false">IF(A29="","",AND(N29,O29))</f>
        <v/>
      </c>
      <c r="Q29" s="8" t="str">
        <f aca="false">IF(A29="","",IF(D29="One-Time",DAY(F29),MIN(E29,DAY(DATE('Bill Calendar'!$B$3,'Bill Calendar'!$D$3+1,1)-1))))</f>
        <v/>
      </c>
      <c r="R29" s="10" t="str">
        <f aca="false">IF(A29="","",IF(P29,DATE('Bill Calendar'!$B$3,'Bill Calendar'!$D$3,Q29),""))</f>
        <v/>
      </c>
    </row>
    <row r="30" customFormat="false" ht="15" hidden="false" customHeight="false" outlineLevel="0" collapsed="false">
      <c r="A30" s="8"/>
      <c r="B30" s="8"/>
      <c r="C30" s="9"/>
      <c r="D30" s="8"/>
      <c r="E30" s="8"/>
      <c r="F30" s="10"/>
      <c r="G30" s="10"/>
      <c r="H30" s="8"/>
      <c r="I30" s="8"/>
      <c r="J30" s="8"/>
      <c r="K30" s="8" t="str">
        <f aca="false">IF(A30="","",YEAR(F30)*12+MONTH(F30))</f>
        <v/>
      </c>
      <c r="L30" s="8" t="str">
        <f aca="false">IF(A30="","",IF(G30="",999999,YEAR(G30)*12+MONTH(G30)))</f>
        <v/>
      </c>
      <c r="M30" s="8" t="str">
        <f aca="false">IF(A30="","",'Bill Calendar'!$B$3*12+'Bill Calendar'!$D$3)</f>
        <v/>
      </c>
      <c r="N30" s="8" t="str">
        <f aca="false">IF(A30="","",AND(M30&gt;=K30,M30&lt;=L30,J30="Active"))</f>
        <v/>
      </c>
      <c r="O30" s="8" t="str">
        <f aca="false">IF(A30="","",IF(D30="One-Time",M30=K30,IF(D30="Monthly",TRUE(),IF(D30="Quarterly",MOD(M30-K30,3)=0,IF(D30="Annually",MOD(M30-K30,12)=0,FALSE())))))</f>
        <v/>
      </c>
      <c r="P30" s="8" t="str">
        <f aca="false">IF(A30="","",AND(N30,O30))</f>
        <v/>
      </c>
      <c r="Q30" s="8" t="str">
        <f aca="false">IF(A30="","",IF(D30="One-Time",DAY(F30),MIN(E30,DAY(DATE('Bill Calendar'!$B$3,'Bill Calendar'!$D$3+1,1)-1))))</f>
        <v/>
      </c>
      <c r="R30" s="10" t="str">
        <f aca="false">IF(A30="","",IF(P30,DATE('Bill Calendar'!$B$3,'Bill Calendar'!$D$3,Q30),""))</f>
        <v/>
      </c>
    </row>
    <row r="31" customFormat="false" ht="15" hidden="false" customHeight="false" outlineLevel="0" collapsed="false">
      <c r="A31" s="8"/>
      <c r="B31" s="8"/>
      <c r="C31" s="9"/>
      <c r="D31" s="8"/>
      <c r="E31" s="8"/>
      <c r="F31" s="10"/>
      <c r="G31" s="10"/>
      <c r="H31" s="8"/>
      <c r="I31" s="8"/>
      <c r="J31" s="8"/>
      <c r="K31" s="8" t="str">
        <f aca="false">IF(A31="","",YEAR(F31)*12+MONTH(F31))</f>
        <v/>
      </c>
      <c r="L31" s="8" t="str">
        <f aca="false">IF(A31="","",IF(G31="",999999,YEAR(G31)*12+MONTH(G31)))</f>
        <v/>
      </c>
      <c r="M31" s="8" t="str">
        <f aca="false">IF(A31="","",'Bill Calendar'!$B$3*12+'Bill Calendar'!$D$3)</f>
        <v/>
      </c>
      <c r="N31" s="8" t="str">
        <f aca="false">IF(A31="","",AND(M31&gt;=K31,M31&lt;=L31,J31="Active"))</f>
        <v/>
      </c>
      <c r="O31" s="8" t="str">
        <f aca="false">IF(A31="","",IF(D31="One-Time",M31=K31,IF(D31="Monthly",TRUE(),IF(D31="Quarterly",MOD(M31-K31,3)=0,IF(D31="Annually",MOD(M31-K31,12)=0,FALSE())))))</f>
        <v/>
      </c>
      <c r="P31" s="8" t="str">
        <f aca="false">IF(A31="","",AND(N31,O31))</f>
        <v/>
      </c>
      <c r="Q31" s="8" t="str">
        <f aca="false">IF(A31="","",IF(D31="One-Time",DAY(F31),MIN(E31,DAY(DATE('Bill Calendar'!$B$3,'Bill Calendar'!$D$3+1,1)-1))))</f>
        <v/>
      </c>
      <c r="R31" s="10" t="str">
        <f aca="false">IF(A31="","",IF(P31,DATE('Bill Calendar'!$B$3,'Bill Calendar'!$D$3,Q31),""))</f>
        <v/>
      </c>
    </row>
    <row r="32" customFormat="false" ht="15" hidden="false" customHeight="false" outlineLevel="0" collapsed="false">
      <c r="A32" s="8"/>
      <c r="B32" s="8"/>
      <c r="C32" s="9"/>
      <c r="D32" s="8"/>
      <c r="E32" s="8"/>
      <c r="F32" s="10"/>
      <c r="G32" s="10"/>
      <c r="H32" s="8"/>
      <c r="I32" s="8"/>
      <c r="J32" s="8"/>
      <c r="K32" s="8" t="str">
        <f aca="false">IF(A32="","",YEAR(F32)*12+MONTH(F32))</f>
        <v/>
      </c>
      <c r="L32" s="8" t="str">
        <f aca="false">IF(A32="","",IF(G32="",999999,YEAR(G32)*12+MONTH(G32)))</f>
        <v/>
      </c>
      <c r="M32" s="8" t="str">
        <f aca="false">IF(A32="","",'Bill Calendar'!$B$3*12+'Bill Calendar'!$D$3)</f>
        <v/>
      </c>
      <c r="N32" s="8" t="str">
        <f aca="false">IF(A32="","",AND(M32&gt;=K32,M32&lt;=L32,J32="Active"))</f>
        <v/>
      </c>
      <c r="O32" s="8" t="str">
        <f aca="false">IF(A32="","",IF(D32="One-Time",M32=K32,IF(D32="Monthly",TRUE(),IF(D32="Quarterly",MOD(M32-K32,3)=0,IF(D32="Annually",MOD(M32-K32,12)=0,FALSE())))))</f>
        <v/>
      </c>
      <c r="P32" s="8" t="str">
        <f aca="false">IF(A32="","",AND(N32,O32))</f>
        <v/>
      </c>
      <c r="Q32" s="8" t="str">
        <f aca="false">IF(A32="","",IF(D32="One-Time",DAY(F32),MIN(E32,DAY(DATE('Bill Calendar'!$B$3,'Bill Calendar'!$D$3+1,1)-1))))</f>
        <v/>
      </c>
      <c r="R32" s="10" t="str">
        <f aca="false">IF(A32="","",IF(P32,DATE('Bill Calendar'!$B$3,'Bill Calendar'!$D$3,Q32),""))</f>
        <v/>
      </c>
    </row>
    <row r="33" customFormat="false" ht="15" hidden="false" customHeight="false" outlineLevel="0" collapsed="false">
      <c r="A33" s="8"/>
      <c r="B33" s="8"/>
      <c r="C33" s="9"/>
      <c r="D33" s="8"/>
      <c r="E33" s="8"/>
      <c r="F33" s="10"/>
      <c r="G33" s="10"/>
      <c r="H33" s="8"/>
      <c r="I33" s="8"/>
      <c r="J33" s="8"/>
      <c r="K33" s="8" t="str">
        <f aca="false">IF(A33="","",YEAR(F33)*12+MONTH(F33))</f>
        <v/>
      </c>
      <c r="L33" s="8" t="str">
        <f aca="false">IF(A33="","",IF(G33="",999999,YEAR(G33)*12+MONTH(G33)))</f>
        <v/>
      </c>
      <c r="M33" s="8" t="str">
        <f aca="false">IF(A33="","",'Bill Calendar'!$B$3*12+'Bill Calendar'!$D$3)</f>
        <v/>
      </c>
      <c r="N33" s="8" t="str">
        <f aca="false">IF(A33="","",AND(M33&gt;=K33,M33&lt;=L33,J33="Active"))</f>
        <v/>
      </c>
      <c r="O33" s="8" t="str">
        <f aca="false">IF(A33="","",IF(D33="One-Time",M33=K33,IF(D33="Monthly",TRUE(),IF(D33="Quarterly",MOD(M33-K33,3)=0,IF(D33="Annually",MOD(M33-K33,12)=0,FALSE())))))</f>
        <v/>
      </c>
      <c r="P33" s="8" t="str">
        <f aca="false">IF(A33="","",AND(N33,O33))</f>
        <v/>
      </c>
      <c r="Q33" s="8" t="str">
        <f aca="false">IF(A33="","",IF(D33="One-Time",DAY(F33),MIN(E33,DAY(DATE('Bill Calendar'!$B$3,'Bill Calendar'!$D$3+1,1)-1))))</f>
        <v/>
      </c>
      <c r="R33" s="10" t="str">
        <f aca="false">IF(A33="","",IF(P33,DATE('Bill Calendar'!$B$3,'Bill Calendar'!$D$3,Q33),""))</f>
        <v/>
      </c>
    </row>
    <row r="34" customFormat="false" ht="15" hidden="false" customHeight="false" outlineLevel="0" collapsed="false">
      <c r="A34" s="8"/>
      <c r="B34" s="8"/>
      <c r="C34" s="9"/>
      <c r="D34" s="8"/>
      <c r="E34" s="8"/>
      <c r="F34" s="10"/>
      <c r="G34" s="10"/>
      <c r="H34" s="8"/>
      <c r="I34" s="8"/>
      <c r="J34" s="8"/>
      <c r="K34" s="8" t="str">
        <f aca="false">IF(A34="","",YEAR(F34)*12+MONTH(F34))</f>
        <v/>
      </c>
      <c r="L34" s="8" t="str">
        <f aca="false">IF(A34="","",IF(G34="",999999,YEAR(G34)*12+MONTH(G34)))</f>
        <v/>
      </c>
      <c r="M34" s="8" t="str">
        <f aca="false">IF(A34="","",'Bill Calendar'!$B$3*12+'Bill Calendar'!$D$3)</f>
        <v/>
      </c>
      <c r="N34" s="8" t="str">
        <f aca="false">IF(A34="","",AND(M34&gt;=K34,M34&lt;=L34,J34="Active"))</f>
        <v/>
      </c>
      <c r="O34" s="8" t="str">
        <f aca="false">IF(A34="","",IF(D34="One-Time",M34=K34,IF(D34="Monthly",TRUE(),IF(D34="Quarterly",MOD(M34-K34,3)=0,IF(D34="Annually",MOD(M34-K34,12)=0,FALSE())))))</f>
        <v/>
      </c>
      <c r="P34" s="8" t="str">
        <f aca="false">IF(A34="","",AND(N34,O34))</f>
        <v/>
      </c>
      <c r="Q34" s="8" t="str">
        <f aca="false">IF(A34="","",IF(D34="One-Time",DAY(F34),MIN(E34,DAY(DATE('Bill Calendar'!$B$3,'Bill Calendar'!$D$3+1,1)-1))))</f>
        <v/>
      </c>
      <c r="R34" s="10" t="str">
        <f aca="false">IF(A34="","",IF(P34,DATE('Bill Calendar'!$B$3,'Bill Calendar'!$D$3,Q34),""))</f>
        <v/>
      </c>
    </row>
    <row r="35" customFormat="false" ht="15" hidden="false" customHeight="false" outlineLevel="0" collapsed="false">
      <c r="A35" s="8"/>
      <c r="B35" s="8"/>
      <c r="C35" s="9"/>
      <c r="D35" s="8"/>
      <c r="E35" s="8"/>
      <c r="F35" s="10"/>
      <c r="G35" s="10"/>
      <c r="H35" s="8"/>
      <c r="I35" s="8"/>
      <c r="J35" s="8"/>
      <c r="K35" s="8" t="str">
        <f aca="false">IF(A35="","",YEAR(F35)*12+MONTH(F35))</f>
        <v/>
      </c>
      <c r="L35" s="8" t="str">
        <f aca="false">IF(A35="","",IF(G35="",999999,YEAR(G35)*12+MONTH(G35)))</f>
        <v/>
      </c>
      <c r="M35" s="8" t="str">
        <f aca="false">IF(A35="","",'Bill Calendar'!$B$3*12+'Bill Calendar'!$D$3)</f>
        <v/>
      </c>
      <c r="N35" s="8" t="str">
        <f aca="false">IF(A35="","",AND(M35&gt;=K35,M35&lt;=L35,J35="Active"))</f>
        <v/>
      </c>
      <c r="O35" s="8" t="str">
        <f aca="false">IF(A35="","",IF(D35="One-Time",M35=K35,IF(D35="Monthly",TRUE(),IF(D35="Quarterly",MOD(M35-K35,3)=0,IF(D35="Annually",MOD(M35-K35,12)=0,FALSE())))))</f>
        <v/>
      </c>
      <c r="P35" s="8" t="str">
        <f aca="false">IF(A35="","",AND(N35,O35))</f>
        <v/>
      </c>
      <c r="Q35" s="8" t="str">
        <f aca="false">IF(A35="","",IF(D35="One-Time",DAY(F35),MIN(E35,DAY(DATE('Bill Calendar'!$B$3,'Bill Calendar'!$D$3+1,1)-1))))</f>
        <v/>
      </c>
      <c r="R35" s="10" t="str">
        <f aca="false">IF(A35="","",IF(P35,DATE('Bill Calendar'!$B$3,'Bill Calendar'!$D$3,Q35),""))</f>
        <v/>
      </c>
    </row>
    <row r="36" customFormat="false" ht="15" hidden="false" customHeight="false" outlineLevel="0" collapsed="false">
      <c r="A36" s="8"/>
      <c r="B36" s="8"/>
      <c r="C36" s="9"/>
      <c r="D36" s="8"/>
      <c r="E36" s="8"/>
      <c r="F36" s="10"/>
      <c r="G36" s="10"/>
      <c r="H36" s="8"/>
      <c r="I36" s="8"/>
      <c r="J36" s="8"/>
      <c r="K36" s="8" t="str">
        <f aca="false">IF(A36="","",YEAR(F36)*12+MONTH(F36))</f>
        <v/>
      </c>
      <c r="L36" s="8" t="str">
        <f aca="false">IF(A36="","",IF(G36="",999999,YEAR(G36)*12+MONTH(G36)))</f>
        <v/>
      </c>
      <c r="M36" s="8" t="str">
        <f aca="false">IF(A36="","",'Bill Calendar'!$B$3*12+'Bill Calendar'!$D$3)</f>
        <v/>
      </c>
      <c r="N36" s="8" t="str">
        <f aca="false">IF(A36="","",AND(M36&gt;=K36,M36&lt;=L36,J36="Active"))</f>
        <v/>
      </c>
      <c r="O36" s="8" t="str">
        <f aca="false">IF(A36="","",IF(D36="One-Time",M36=K36,IF(D36="Monthly",TRUE(),IF(D36="Quarterly",MOD(M36-K36,3)=0,IF(D36="Annually",MOD(M36-K36,12)=0,FALSE())))))</f>
        <v/>
      </c>
      <c r="P36" s="8" t="str">
        <f aca="false">IF(A36="","",AND(N36,O36))</f>
        <v/>
      </c>
      <c r="Q36" s="8" t="str">
        <f aca="false">IF(A36="","",IF(D36="One-Time",DAY(F36),MIN(E36,DAY(DATE('Bill Calendar'!$B$3,'Bill Calendar'!$D$3+1,1)-1))))</f>
        <v/>
      </c>
      <c r="R36" s="10" t="str">
        <f aca="false">IF(A36="","",IF(P36,DATE('Bill Calendar'!$B$3,'Bill Calendar'!$D$3,Q36),""))</f>
        <v/>
      </c>
    </row>
    <row r="37" customFormat="false" ht="15" hidden="false" customHeight="false" outlineLevel="0" collapsed="false">
      <c r="A37" s="8"/>
      <c r="B37" s="8"/>
      <c r="C37" s="9"/>
      <c r="D37" s="8"/>
      <c r="E37" s="8"/>
      <c r="F37" s="10"/>
      <c r="G37" s="10"/>
      <c r="H37" s="8"/>
      <c r="I37" s="8"/>
      <c r="J37" s="8"/>
      <c r="K37" s="8" t="str">
        <f aca="false">IF(A37="","",YEAR(F37)*12+MONTH(F37))</f>
        <v/>
      </c>
      <c r="L37" s="8" t="str">
        <f aca="false">IF(A37="","",IF(G37="",999999,YEAR(G37)*12+MONTH(G37)))</f>
        <v/>
      </c>
      <c r="M37" s="8" t="str">
        <f aca="false">IF(A37="","",'Bill Calendar'!$B$3*12+'Bill Calendar'!$D$3)</f>
        <v/>
      </c>
      <c r="N37" s="8" t="str">
        <f aca="false">IF(A37="","",AND(M37&gt;=K37,M37&lt;=L37,J37="Active"))</f>
        <v/>
      </c>
      <c r="O37" s="8" t="str">
        <f aca="false">IF(A37="","",IF(D37="One-Time",M37=K37,IF(D37="Monthly",TRUE(),IF(D37="Quarterly",MOD(M37-K37,3)=0,IF(D37="Annually",MOD(M37-K37,12)=0,FALSE())))))</f>
        <v/>
      </c>
      <c r="P37" s="8" t="str">
        <f aca="false">IF(A37="","",AND(N37,O37))</f>
        <v/>
      </c>
      <c r="Q37" s="8" t="str">
        <f aca="false">IF(A37="","",IF(D37="One-Time",DAY(F37),MIN(E37,DAY(DATE('Bill Calendar'!$B$3,'Bill Calendar'!$D$3+1,1)-1))))</f>
        <v/>
      </c>
      <c r="R37" s="10" t="str">
        <f aca="false">IF(A37="","",IF(P37,DATE('Bill Calendar'!$B$3,'Bill Calendar'!$D$3,Q37),""))</f>
        <v/>
      </c>
    </row>
    <row r="38" customFormat="false" ht="15" hidden="false" customHeight="false" outlineLevel="0" collapsed="false">
      <c r="A38" s="8"/>
      <c r="B38" s="8"/>
      <c r="C38" s="9"/>
      <c r="D38" s="8"/>
      <c r="E38" s="8"/>
      <c r="F38" s="10"/>
      <c r="G38" s="10"/>
      <c r="H38" s="8"/>
      <c r="I38" s="8"/>
      <c r="J38" s="8"/>
      <c r="K38" s="8" t="str">
        <f aca="false">IF(A38="","",YEAR(F38)*12+MONTH(F38))</f>
        <v/>
      </c>
      <c r="L38" s="8" t="str">
        <f aca="false">IF(A38="","",IF(G38="",999999,YEAR(G38)*12+MONTH(G38)))</f>
        <v/>
      </c>
      <c r="M38" s="8" t="str">
        <f aca="false">IF(A38="","",'Bill Calendar'!$B$3*12+'Bill Calendar'!$D$3)</f>
        <v/>
      </c>
      <c r="N38" s="8" t="str">
        <f aca="false">IF(A38="","",AND(M38&gt;=K38,M38&lt;=L38,J38="Active"))</f>
        <v/>
      </c>
      <c r="O38" s="8" t="str">
        <f aca="false">IF(A38="","",IF(D38="One-Time",M38=K38,IF(D38="Monthly",TRUE(),IF(D38="Quarterly",MOD(M38-K38,3)=0,IF(D38="Annually",MOD(M38-K38,12)=0,FALSE())))))</f>
        <v/>
      </c>
      <c r="P38" s="8" t="str">
        <f aca="false">IF(A38="","",AND(N38,O38))</f>
        <v/>
      </c>
      <c r="Q38" s="8" t="str">
        <f aca="false">IF(A38="","",IF(D38="One-Time",DAY(F38),MIN(E38,DAY(DATE('Bill Calendar'!$B$3,'Bill Calendar'!$D$3+1,1)-1))))</f>
        <v/>
      </c>
      <c r="R38" s="10" t="str">
        <f aca="false">IF(A38="","",IF(P38,DATE('Bill Calendar'!$B$3,'Bill Calendar'!$D$3,Q38),""))</f>
        <v/>
      </c>
    </row>
    <row r="39" customFormat="false" ht="15" hidden="false" customHeight="false" outlineLevel="0" collapsed="false">
      <c r="A39" s="8"/>
      <c r="B39" s="8"/>
      <c r="C39" s="9"/>
      <c r="D39" s="8"/>
      <c r="E39" s="8"/>
      <c r="F39" s="10"/>
      <c r="G39" s="10"/>
      <c r="H39" s="8"/>
      <c r="I39" s="8"/>
      <c r="J39" s="8"/>
      <c r="K39" s="8" t="str">
        <f aca="false">IF(A39="","",YEAR(F39)*12+MONTH(F39))</f>
        <v/>
      </c>
      <c r="L39" s="8" t="str">
        <f aca="false">IF(A39="","",IF(G39="",999999,YEAR(G39)*12+MONTH(G39)))</f>
        <v/>
      </c>
      <c r="M39" s="8" t="str">
        <f aca="false">IF(A39="","",'Bill Calendar'!$B$3*12+'Bill Calendar'!$D$3)</f>
        <v/>
      </c>
      <c r="N39" s="8" t="str">
        <f aca="false">IF(A39="","",AND(M39&gt;=K39,M39&lt;=L39,J39="Active"))</f>
        <v/>
      </c>
      <c r="O39" s="8" t="str">
        <f aca="false">IF(A39="","",IF(D39="One-Time",M39=K39,IF(D39="Monthly",TRUE(),IF(D39="Quarterly",MOD(M39-K39,3)=0,IF(D39="Annually",MOD(M39-K39,12)=0,FALSE())))))</f>
        <v/>
      </c>
      <c r="P39" s="8" t="str">
        <f aca="false">IF(A39="","",AND(N39,O39))</f>
        <v/>
      </c>
      <c r="Q39" s="8" t="str">
        <f aca="false">IF(A39="","",IF(D39="One-Time",DAY(F39),MIN(E39,DAY(DATE('Bill Calendar'!$B$3,'Bill Calendar'!$D$3+1,1)-1))))</f>
        <v/>
      </c>
      <c r="R39" s="10" t="str">
        <f aca="false">IF(A39="","",IF(P39,DATE('Bill Calendar'!$B$3,'Bill Calendar'!$D$3,Q39),""))</f>
        <v/>
      </c>
    </row>
    <row r="40" customFormat="false" ht="15" hidden="false" customHeight="false" outlineLevel="0" collapsed="false">
      <c r="A40" s="8"/>
      <c r="B40" s="8"/>
      <c r="C40" s="9"/>
      <c r="D40" s="8"/>
      <c r="E40" s="8"/>
      <c r="F40" s="10"/>
      <c r="G40" s="10"/>
      <c r="H40" s="8"/>
      <c r="I40" s="8"/>
      <c r="J40" s="8"/>
      <c r="K40" s="8" t="str">
        <f aca="false">IF(A40="","",YEAR(F40)*12+MONTH(F40))</f>
        <v/>
      </c>
      <c r="L40" s="8" t="str">
        <f aca="false">IF(A40="","",IF(G40="",999999,YEAR(G40)*12+MONTH(G40)))</f>
        <v/>
      </c>
      <c r="M40" s="8" t="str">
        <f aca="false">IF(A40="","",'Bill Calendar'!$B$3*12+'Bill Calendar'!$D$3)</f>
        <v/>
      </c>
      <c r="N40" s="8" t="str">
        <f aca="false">IF(A40="","",AND(M40&gt;=K40,M40&lt;=L40,J40="Active"))</f>
        <v/>
      </c>
      <c r="O40" s="8" t="str">
        <f aca="false">IF(A40="","",IF(D40="One-Time",M40=K40,IF(D40="Monthly",TRUE(),IF(D40="Quarterly",MOD(M40-K40,3)=0,IF(D40="Annually",MOD(M40-K40,12)=0,FALSE())))))</f>
        <v/>
      </c>
      <c r="P40" s="8" t="str">
        <f aca="false">IF(A40="","",AND(N40,O40))</f>
        <v/>
      </c>
      <c r="Q40" s="8" t="str">
        <f aca="false">IF(A40="","",IF(D40="One-Time",DAY(F40),MIN(E40,DAY(DATE('Bill Calendar'!$B$3,'Bill Calendar'!$D$3+1,1)-1))))</f>
        <v/>
      </c>
      <c r="R40" s="10" t="str">
        <f aca="false">IF(A40="","",IF(P40,DATE('Bill Calendar'!$B$3,'Bill Calendar'!$D$3,Q40),""))</f>
        <v/>
      </c>
    </row>
    <row r="41" customFormat="false" ht="15" hidden="false" customHeight="false" outlineLevel="0" collapsed="false">
      <c r="A41" s="8"/>
      <c r="B41" s="8"/>
      <c r="C41" s="9"/>
      <c r="D41" s="8"/>
      <c r="E41" s="8"/>
      <c r="F41" s="10"/>
      <c r="G41" s="10"/>
      <c r="H41" s="8"/>
      <c r="I41" s="8"/>
      <c r="J41" s="8"/>
      <c r="K41" s="8" t="str">
        <f aca="false">IF(A41="","",YEAR(F41)*12+MONTH(F41))</f>
        <v/>
      </c>
      <c r="L41" s="8" t="str">
        <f aca="false">IF(A41="","",IF(G41="",999999,YEAR(G41)*12+MONTH(G41)))</f>
        <v/>
      </c>
      <c r="M41" s="8" t="str">
        <f aca="false">IF(A41="","",'Bill Calendar'!$B$3*12+'Bill Calendar'!$D$3)</f>
        <v/>
      </c>
      <c r="N41" s="8" t="str">
        <f aca="false">IF(A41="","",AND(M41&gt;=K41,M41&lt;=L41,J41="Active"))</f>
        <v/>
      </c>
      <c r="O41" s="8" t="str">
        <f aca="false">IF(A41="","",IF(D41="One-Time",M41=K41,IF(D41="Monthly",TRUE(),IF(D41="Quarterly",MOD(M41-K41,3)=0,IF(D41="Annually",MOD(M41-K41,12)=0,FALSE())))))</f>
        <v/>
      </c>
      <c r="P41" s="8" t="str">
        <f aca="false">IF(A41="","",AND(N41,O41))</f>
        <v/>
      </c>
      <c r="Q41" s="8" t="str">
        <f aca="false">IF(A41="","",IF(D41="One-Time",DAY(F41),MIN(E41,DAY(DATE('Bill Calendar'!$B$3,'Bill Calendar'!$D$3+1,1)-1))))</f>
        <v/>
      </c>
      <c r="R41" s="10" t="str">
        <f aca="false">IF(A41="","",IF(P41,DATE('Bill Calendar'!$B$3,'Bill Calendar'!$D$3,Q41),""))</f>
        <v/>
      </c>
    </row>
    <row r="42" customFormat="false" ht="15" hidden="false" customHeight="false" outlineLevel="0" collapsed="false">
      <c r="A42" s="8"/>
      <c r="B42" s="8"/>
      <c r="C42" s="9"/>
      <c r="D42" s="8"/>
      <c r="E42" s="8"/>
      <c r="F42" s="10"/>
      <c r="G42" s="10"/>
      <c r="H42" s="8"/>
      <c r="I42" s="8"/>
      <c r="J42" s="8"/>
      <c r="K42" s="8" t="str">
        <f aca="false">IF(A42="","",YEAR(F42)*12+MONTH(F42))</f>
        <v/>
      </c>
      <c r="L42" s="8" t="str">
        <f aca="false">IF(A42="","",IF(G42="",999999,YEAR(G42)*12+MONTH(G42)))</f>
        <v/>
      </c>
      <c r="M42" s="8" t="str">
        <f aca="false">IF(A42="","",'Bill Calendar'!$B$3*12+'Bill Calendar'!$D$3)</f>
        <v/>
      </c>
      <c r="N42" s="8" t="str">
        <f aca="false">IF(A42="","",AND(M42&gt;=K42,M42&lt;=L42,J42="Active"))</f>
        <v/>
      </c>
      <c r="O42" s="8" t="str">
        <f aca="false">IF(A42="","",IF(D42="One-Time",M42=K42,IF(D42="Monthly",TRUE(),IF(D42="Quarterly",MOD(M42-K42,3)=0,IF(D42="Annually",MOD(M42-K42,12)=0,FALSE())))))</f>
        <v/>
      </c>
      <c r="P42" s="8" t="str">
        <f aca="false">IF(A42="","",AND(N42,O42))</f>
        <v/>
      </c>
      <c r="Q42" s="8" t="str">
        <f aca="false">IF(A42="","",IF(D42="One-Time",DAY(F42),MIN(E42,DAY(DATE('Bill Calendar'!$B$3,'Bill Calendar'!$D$3+1,1)-1))))</f>
        <v/>
      </c>
      <c r="R42" s="10" t="str">
        <f aca="false">IF(A42="","",IF(P42,DATE('Bill Calendar'!$B$3,'Bill Calendar'!$D$3,Q42),""))</f>
        <v/>
      </c>
    </row>
    <row r="43" customFormat="false" ht="15" hidden="false" customHeight="false" outlineLevel="0" collapsed="false">
      <c r="A43" s="8"/>
      <c r="B43" s="8"/>
      <c r="C43" s="9"/>
      <c r="D43" s="8"/>
      <c r="E43" s="8"/>
      <c r="F43" s="10"/>
      <c r="G43" s="10"/>
      <c r="H43" s="8"/>
      <c r="I43" s="8"/>
      <c r="J43" s="8"/>
      <c r="K43" s="8" t="str">
        <f aca="false">IF(A43="","",YEAR(F43)*12+MONTH(F43))</f>
        <v/>
      </c>
      <c r="L43" s="8" t="str">
        <f aca="false">IF(A43="","",IF(G43="",999999,YEAR(G43)*12+MONTH(G43)))</f>
        <v/>
      </c>
      <c r="M43" s="8" t="str">
        <f aca="false">IF(A43="","",'Bill Calendar'!$B$3*12+'Bill Calendar'!$D$3)</f>
        <v/>
      </c>
      <c r="N43" s="8" t="str">
        <f aca="false">IF(A43="","",AND(M43&gt;=K43,M43&lt;=L43,J43="Active"))</f>
        <v/>
      </c>
      <c r="O43" s="8" t="str">
        <f aca="false">IF(A43="","",IF(D43="One-Time",M43=K43,IF(D43="Monthly",TRUE(),IF(D43="Quarterly",MOD(M43-K43,3)=0,IF(D43="Annually",MOD(M43-K43,12)=0,FALSE())))))</f>
        <v/>
      </c>
      <c r="P43" s="8" t="str">
        <f aca="false">IF(A43="","",AND(N43,O43))</f>
        <v/>
      </c>
      <c r="Q43" s="8" t="str">
        <f aca="false">IF(A43="","",IF(D43="One-Time",DAY(F43),MIN(E43,DAY(DATE('Bill Calendar'!$B$3,'Bill Calendar'!$D$3+1,1)-1))))</f>
        <v/>
      </c>
      <c r="R43" s="10" t="str">
        <f aca="false">IF(A43="","",IF(P43,DATE('Bill Calendar'!$B$3,'Bill Calendar'!$D$3,Q43),""))</f>
        <v/>
      </c>
    </row>
    <row r="44" customFormat="false" ht="15" hidden="false" customHeight="false" outlineLevel="0" collapsed="false">
      <c r="A44" s="8"/>
      <c r="B44" s="8"/>
      <c r="C44" s="9"/>
      <c r="D44" s="8"/>
      <c r="E44" s="8"/>
      <c r="F44" s="10"/>
      <c r="G44" s="10"/>
      <c r="H44" s="8"/>
      <c r="I44" s="8"/>
      <c r="J44" s="8"/>
      <c r="K44" s="8" t="str">
        <f aca="false">IF(A44="","",YEAR(F44)*12+MONTH(F44))</f>
        <v/>
      </c>
      <c r="L44" s="8" t="str">
        <f aca="false">IF(A44="","",IF(G44="",999999,YEAR(G44)*12+MONTH(G44)))</f>
        <v/>
      </c>
      <c r="M44" s="8" t="str">
        <f aca="false">IF(A44="","",'Bill Calendar'!$B$3*12+'Bill Calendar'!$D$3)</f>
        <v/>
      </c>
      <c r="N44" s="8" t="str">
        <f aca="false">IF(A44="","",AND(M44&gt;=K44,M44&lt;=L44,J44="Active"))</f>
        <v/>
      </c>
      <c r="O44" s="8" t="str">
        <f aca="false">IF(A44="","",IF(D44="One-Time",M44=K44,IF(D44="Monthly",TRUE(),IF(D44="Quarterly",MOD(M44-K44,3)=0,IF(D44="Annually",MOD(M44-K44,12)=0,FALSE())))))</f>
        <v/>
      </c>
      <c r="P44" s="8" t="str">
        <f aca="false">IF(A44="","",AND(N44,O44))</f>
        <v/>
      </c>
      <c r="Q44" s="8" t="str">
        <f aca="false">IF(A44="","",IF(D44="One-Time",DAY(F44),MIN(E44,DAY(DATE('Bill Calendar'!$B$3,'Bill Calendar'!$D$3+1,1)-1))))</f>
        <v/>
      </c>
      <c r="R44" s="10" t="str">
        <f aca="false">IF(A44="","",IF(P44,DATE('Bill Calendar'!$B$3,'Bill Calendar'!$D$3,Q44),""))</f>
        <v/>
      </c>
    </row>
    <row r="45" customFormat="false" ht="15" hidden="false" customHeight="false" outlineLevel="0" collapsed="false">
      <c r="A45" s="8"/>
      <c r="B45" s="8"/>
      <c r="C45" s="9"/>
      <c r="D45" s="8"/>
      <c r="E45" s="8"/>
      <c r="F45" s="10"/>
      <c r="G45" s="10"/>
      <c r="H45" s="8"/>
      <c r="I45" s="8"/>
      <c r="J45" s="8"/>
      <c r="K45" s="8" t="str">
        <f aca="false">IF(A45="","",YEAR(F45)*12+MONTH(F45))</f>
        <v/>
      </c>
      <c r="L45" s="8" t="str">
        <f aca="false">IF(A45="","",IF(G45="",999999,YEAR(G45)*12+MONTH(G45)))</f>
        <v/>
      </c>
      <c r="M45" s="8" t="str">
        <f aca="false">IF(A45="","",'Bill Calendar'!$B$3*12+'Bill Calendar'!$D$3)</f>
        <v/>
      </c>
      <c r="N45" s="8" t="str">
        <f aca="false">IF(A45="","",AND(M45&gt;=K45,M45&lt;=L45,J45="Active"))</f>
        <v/>
      </c>
      <c r="O45" s="8" t="str">
        <f aca="false">IF(A45="","",IF(D45="One-Time",M45=K45,IF(D45="Monthly",TRUE(),IF(D45="Quarterly",MOD(M45-K45,3)=0,IF(D45="Annually",MOD(M45-K45,12)=0,FALSE())))))</f>
        <v/>
      </c>
      <c r="P45" s="8" t="str">
        <f aca="false">IF(A45="","",AND(N45,O45))</f>
        <v/>
      </c>
      <c r="Q45" s="8" t="str">
        <f aca="false">IF(A45="","",IF(D45="One-Time",DAY(F45),MIN(E45,DAY(DATE('Bill Calendar'!$B$3,'Bill Calendar'!$D$3+1,1)-1))))</f>
        <v/>
      </c>
      <c r="R45" s="10" t="str">
        <f aca="false">IF(A45="","",IF(P45,DATE('Bill Calendar'!$B$3,'Bill Calendar'!$D$3,Q45),""))</f>
        <v/>
      </c>
    </row>
    <row r="46" customFormat="false" ht="15" hidden="false" customHeight="false" outlineLevel="0" collapsed="false">
      <c r="A46" s="8"/>
      <c r="B46" s="8"/>
      <c r="C46" s="9"/>
      <c r="D46" s="8"/>
      <c r="E46" s="8"/>
      <c r="F46" s="10"/>
      <c r="G46" s="10"/>
      <c r="H46" s="8"/>
      <c r="I46" s="8"/>
      <c r="J46" s="8"/>
      <c r="K46" s="8" t="str">
        <f aca="false">IF(A46="","",YEAR(F46)*12+MONTH(F46))</f>
        <v/>
      </c>
      <c r="L46" s="8" t="str">
        <f aca="false">IF(A46="","",IF(G46="",999999,YEAR(G46)*12+MONTH(G46)))</f>
        <v/>
      </c>
      <c r="M46" s="8" t="str">
        <f aca="false">IF(A46="","",'Bill Calendar'!$B$3*12+'Bill Calendar'!$D$3)</f>
        <v/>
      </c>
      <c r="N46" s="8" t="str">
        <f aca="false">IF(A46="","",AND(M46&gt;=K46,M46&lt;=L46,J46="Active"))</f>
        <v/>
      </c>
      <c r="O46" s="8" t="str">
        <f aca="false">IF(A46="","",IF(D46="One-Time",M46=K46,IF(D46="Monthly",TRUE(),IF(D46="Quarterly",MOD(M46-K46,3)=0,IF(D46="Annually",MOD(M46-K46,12)=0,FALSE())))))</f>
        <v/>
      </c>
      <c r="P46" s="8" t="str">
        <f aca="false">IF(A46="","",AND(N46,O46))</f>
        <v/>
      </c>
      <c r="Q46" s="8" t="str">
        <f aca="false">IF(A46="","",IF(D46="One-Time",DAY(F46),MIN(E46,DAY(DATE('Bill Calendar'!$B$3,'Bill Calendar'!$D$3+1,1)-1))))</f>
        <v/>
      </c>
      <c r="R46" s="10" t="str">
        <f aca="false">IF(A46="","",IF(P46,DATE('Bill Calendar'!$B$3,'Bill Calendar'!$D$3,Q46),""))</f>
        <v/>
      </c>
    </row>
    <row r="47" customFormat="false" ht="15" hidden="false" customHeight="false" outlineLevel="0" collapsed="false">
      <c r="A47" s="8"/>
      <c r="B47" s="8"/>
      <c r="C47" s="9"/>
      <c r="D47" s="8"/>
      <c r="E47" s="8"/>
      <c r="F47" s="10"/>
      <c r="G47" s="10"/>
      <c r="H47" s="8"/>
      <c r="I47" s="8"/>
      <c r="J47" s="8"/>
      <c r="K47" s="8" t="str">
        <f aca="false">IF(A47="","",YEAR(F47)*12+MONTH(F47))</f>
        <v/>
      </c>
      <c r="L47" s="8" t="str">
        <f aca="false">IF(A47="","",IF(G47="",999999,YEAR(G47)*12+MONTH(G47)))</f>
        <v/>
      </c>
      <c r="M47" s="8" t="str">
        <f aca="false">IF(A47="","",'Bill Calendar'!$B$3*12+'Bill Calendar'!$D$3)</f>
        <v/>
      </c>
      <c r="N47" s="8" t="str">
        <f aca="false">IF(A47="","",AND(M47&gt;=K47,M47&lt;=L47,J47="Active"))</f>
        <v/>
      </c>
      <c r="O47" s="8" t="str">
        <f aca="false">IF(A47="","",IF(D47="One-Time",M47=K47,IF(D47="Monthly",TRUE(),IF(D47="Quarterly",MOD(M47-K47,3)=0,IF(D47="Annually",MOD(M47-K47,12)=0,FALSE())))))</f>
        <v/>
      </c>
      <c r="P47" s="8" t="str">
        <f aca="false">IF(A47="","",AND(N47,O47))</f>
        <v/>
      </c>
      <c r="Q47" s="8" t="str">
        <f aca="false">IF(A47="","",IF(D47="One-Time",DAY(F47),MIN(E47,DAY(DATE('Bill Calendar'!$B$3,'Bill Calendar'!$D$3+1,1)-1))))</f>
        <v/>
      </c>
      <c r="R47" s="10" t="str">
        <f aca="false">IF(A47="","",IF(P47,DATE('Bill Calendar'!$B$3,'Bill Calendar'!$D$3,Q47),""))</f>
        <v/>
      </c>
    </row>
    <row r="48" customFormat="false" ht="15" hidden="false" customHeight="false" outlineLevel="0" collapsed="false">
      <c r="A48" s="8"/>
      <c r="B48" s="8"/>
      <c r="C48" s="9"/>
      <c r="D48" s="8"/>
      <c r="E48" s="8"/>
      <c r="F48" s="10"/>
      <c r="G48" s="10"/>
      <c r="H48" s="8"/>
      <c r="I48" s="8"/>
      <c r="J48" s="8"/>
      <c r="K48" s="8" t="str">
        <f aca="false">IF(A48="","",YEAR(F48)*12+MONTH(F48))</f>
        <v/>
      </c>
      <c r="L48" s="8" t="str">
        <f aca="false">IF(A48="","",IF(G48="",999999,YEAR(G48)*12+MONTH(G48)))</f>
        <v/>
      </c>
      <c r="M48" s="8" t="str">
        <f aca="false">IF(A48="","",'Bill Calendar'!$B$3*12+'Bill Calendar'!$D$3)</f>
        <v/>
      </c>
      <c r="N48" s="8" t="str">
        <f aca="false">IF(A48="","",AND(M48&gt;=K48,M48&lt;=L48,J48="Active"))</f>
        <v/>
      </c>
      <c r="O48" s="8" t="str">
        <f aca="false">IF(A48="","",IF(D48="One-Time",M48=K48,IF(D48="Monthly",TRUE(),IF(D48="Quarterly",MOD(M48-K48,3)=0,IF(D48="Annually",MOD(M48-K48,12)=0,FALSE())))))</f>
        <v/>
      </c>
      <c r="P48" s="8" t="str">
        <f aca="false">IF(A48="","",AND(N48,O48))</f>
        <v/>
      </c>
      <c r="Q48" s="8" t="str">
        <f aca="false">IF(A48="","",IF(D48="One-Time",DAY(F48),MIN(E48,DAY(DATE('Bill Calendar'!$B$3,'Bill Calendar'!$D$3+1,1)-1))))</f>
        <v/>
      </c>
      <c r="R48" s="10" t="str">
        <f aca="false">IF(A48="","",IF(P48,DATE('Bill Calendar'!$B$3,'Bill Calendar'!$D$3,Q48),""))</f>
        <v/>
      </c>
    </row>
    <row r="49" customFormat="false" ht="15" hidden="false" customHeight="false" outlineLevel="0" collapsed="false">
      <c r="A49" s="8"/>
      <c r="B49" s="8"/>
      <c r="C49" s="9"/>
      <c r="D49" s="8"/>
      <c r="E49" s="8"/>
      <c r="F49" s="10"/>
      <c r="G49" s="10"/>
      <c r="H49" s="8"/>
      <c r="I49" s="8"/>
      <c r="J49" s="8"/>
      <c r="K49" s="8" t="str">
        <f aca="false">IF(A49="","",YEAR(F49)*12+MONTH(F49))</f>
        <v/>
      </c>
      <c r="L49" s="8" t="str">
        <f aca="false">IF(A49="","",IF(G49="",999999,YEAR(G49)*12+MONTH(G49)))</f>
        <v/>
      </c>
      <c r="M49" s="8" t="str">
        <f aca="false">IF(A49="","",'Bill Calendar'!$B$3*12+'Bill Calendar'!$D$3)</f>
        <v/>
      </c>
      <c r="N49" s="8" t="str">
        <f aca="false">IF(A49="","",AND(M49&gt;=K49,M49&lt;=L49,J49="Active"))</f>
        <v/>
      </c>
      <c r="O49" s="8" t="str">
        <f aca="false">IF(A49="","",IF(D49="One-Time",M49=K49,IF(D49="Monthly",TRUE(),IF(D49="Quarterly",MOD(M49-K49,3)=0,IF(D49="Annually",MOD(M49-K49,12)=0,FALSE())))))</f>
        <v/>
      </c>
      <c r="P49" s="8" t="str">
        <f aca="false">IF(A49="","",AND(N49,O49))</f>
        <v/>
      </c>
      <c r="Q49" s="8" t="str">
        <f aca="false">IF(A49="","",IF(D49="One-Time",DAY(F49),MIN(E49,DAY(DATE('Bill Calendar'!$B$3,'Bill Calendar'!$D$3+1,1)-1))))</f>
        <v/>
      </c>
      <c r="R49" s="10" t="str">
        <f aca="false">IF(A49="","",IF(P49,DATE('Bill Calendar'!$B$3,'Bill Calendar'!$D$3,Q49),""))</f>
        <v/>
      </c>
    </row>
    <row r="50" customFormat="false" ht="15" hidden="false" customHeight="false" outlineLevel="0" collapsed="false">
      <c r="A50" s="8"/>
      <c r="B50" s="8"/>
      <c r="C50" s="9"/>
      <c r="D50" s="8"/>
      <c r="E50" s="8"/>
      <c r="F50" s="10"/>
      <c r="G50" s="10"/>
      <c r="H50" s="8"/>
      <c r="I50" s="8"/>
      <c r="J50" s="8"/>
      <c r="K50" s="8" t="str">
        <f aca="false">IF(A50="","",YEAR(F50)*12+MONTH(F50))</f>
        <v/>
      </c>
      <c r="L50" s="8" t="str">
        <f aca="false">IF(A50="","",IF(G50="",999999,YEAR(G50)*12+MONTH(G50)))</f>
        <v/>
      </c>
      <c r="M50" s="8" t="str">
        <f aca="false">IF(A50="","",'Bill Calendar'!$B$3*12+'Bill Calendar'!$D$3)</f>
        <v/>
      </c>
      <c r="N50" s="8" t="str">
        <f aca="false">IF(A50="","",AND(M50&gt;=K50,M50&lt;=L50,J50="Active"))</f>
        <v/>
      </c>
      <c r="O50" s="8" t="str">
        <f aca="false">IF(A50="","",IF(D50="One-Time",M50=K50,IF(D50="Monthly",TRUE(),IF(D50="Quarterly",MOD(M50-K50,3)=0,IF(D50="Annually",MOD(M50-K50,12)=0,FALSE())))))</f>
        <v/>
      </c>
      <c r="P50" s="8" t="str">
        <f aca="false">IF(A50="","",AND(N50,O50))</f>
        <v/>
      </c>
      <c r="Q50" s="8" t="str">
        <f aca="false">IF(A50="","",IF(D50="One-Time",DAY(F50),MIN(E50,DAY(DATE('Bill Calendar'!$B$3,'Bill Calendar'!$D$3+1,1)-1))))</f>
        <v/>
      </c>
      <c r="R50" s="10" t="str">
        <f aca="false">IF(A50="","",IF(P50,DATE('Bill Calendar'!$B$3,'Bill Calendar'!$D$3,Q50),""))</f>
        <v/>
      </c>
    </row>
    <row r="51" customFormat="false" ht="15" hidden="false" customHeight="false" outlineLevel="0" collapsed="false">
      <c r="A51" s="8"/>
      <c r="B51" s="8"/>
      <c r="C51" s="9"/>
      <c r="D51" s="8"/>
      <c r="E51" s="8"/>
      <c r="F51" s="10"/>
      <c r="G51" s="10"/>
      <c r="H51" s="8"/>
      <c r="I51" s="8"/>
      <c r="J51" s="8"/>
      <c r="K51" s="8" t="str">
        <f aca="false">IF(A51="","",YEAR(F51)*12+MONTH(F51))</f>
        <v/>
      </c>
      <c r="L51" s="8" t="str">
        <f aca="false">IF(A51="","",IF(G51="",999999,YEAR(G51)*12+MONTH(G51)))</f>
        <v/>
      </c>
      <c r="M51" s="8" t="str">
        <f aca="false">IF(A51="","",'Bill Calendar'!$B$3*12+'Bill Calendar'!$D$3)</f>
        <v/>
      </c>
      <c r="N51" s="8" t="str">
        <f aca="false">IF(A51="","",AND(M51&gt;=K51,M51&lt;=L51,J51="Active"))</f>
        <v/>
      </c>
      <c r="O51" s="8" t="str">
        <f aca="false">IF(A51="","",IF(D51="One-Time",M51=K51,IF(D51="Monthly",TRUE(),IF(D51="Quarterly",MOD(M51-K51,3)=0,IF(D51="Annually",MOD(M51-K51,12)=0,FALSE())))))</f>
        <v/>
      </c>
      <c r="P51" s="8" t="str">
        <f aca="false">IF(A51="","",AND(N51,O51))</f>
        <v/>
      </c>
      <c r="Q51" s="8" t="str">
        <f aca="false">IF(A51="","",IF(D51="One-Time",DAY(F51),MIN(E51,DAY(DATE('Bill Calendar'!$B$3,'Bill Calendar'!$D$3+1,1)-1))))</f>
        <v/>
      </c>
      <c r="R51" s="10" t="str">
        <f aca="false">IF(A51="","",IF(P51,DATE('Bill Calendar'!$B$3,'Bill Calendar'!$D$3,Q51),""))</f>
        <v/>
      </c>
    </row>
    <row r="52" customFormat="false" ht="15" hidden="false" customHeight="false" outlineLevel="0" collapsed="false">
      <c r="A52" s="8"/>
      <c r="B52" s="8"/>
      <c r="C52" s="9"/>
      <c r="D52" s="8"/>
      <c r="E52" s="8"/>
      <c r="F52" s="10"/>
      <c r="G52" s="10"/>
      <c r="H52" s="8"/>
      <c r="I52" s="8"/>
      <c r="J52" s="8"/>
      <c r="K52" s="8" t="str">
        <f aca="false">IF(A52="","",YEAR(F52)*12+MONTH(F52))</f>
        <v/>
      </c>
      <c r="L52" s="8" t="str">
        <f aca="false">IF(A52="","",IF(G52="",999999,YEAR(G52)*12+MONTH(G52)))</f>
        <v/>
      </c>
      <c r="M52" s="8" t="str">
        <f aca="false">IF(A52="","",'Bill Calendar'!$B$3*12+'Bill Calendar'!$D$3)</f>
        <v/>
      </c>
      <c r="N52" s="8" t="str">
        <f aca="false">IF(A52="","",AND(M52&gt;=K52,M52&lt;=L52,J52="Active"))</f>
        <v/>
      </c>
      <c r="O52" s="8" t="str">
        <f aca="false">IF(A52="","",IF(D52="One-Time",M52=K52,IF(D52="Monthly",TRUE(),IF(D52="Quarterly",MOD(M52-K52,3)=0,IF(D52="Annually",MOD(M52-K52,12)=0,FALSE())))))</f>
        <v/>
      </c>
      <c r="P52" s="8" t="str">
        <f aca="false">IF(A52="","",AND(N52,O52))</f>
        <v/>
      </c>
      <c r="Q52" s="8" t="str">
        <f aca="false">IF(A52="","",IF(D52="One-Time",DAY(F52),MIN(E52,DAY(DATE('Bill Calendar'!$B$3,'Bill Calendar'!$D$3+1,1)-1))))</f>
        <v/>
      </c>
      <c r="R52" s="10" t="str">
        <f aca="false">IF(A52="","",IF(P52,DATE('Bill Calendar'!$B$3,'Bill Calendar'!$D$3,Q52),""))</f>
        <v/>
      </c>
    </row>
  </sheetData>
  <mergeCells count="1">
    <mergeCell ref="A1:R1"/>
  </mergeCells>
  <conditionalFormatting sqref="A3:R52">
    <cfRule type="expression" priority="2" aboveAverage="0" equalAverage="0" bottom="0" percent="0" rank="0" text="" dxfId="0">
      <formula>AND($P3=1,$I3="No")</formula>
    </cfRule>
    <cfRule type="expression" priority="3" aboveAverage="0" equalAverage="0" bottom="0" percent="0" rank="0" text="" dxfId="1">
      <formula>AND($P3=1,$I3="Yes")</formula>
    </cfRule>
  </conditionalFormatting>
  <dataValidations count="5">
    <dataValidation allowBlank="true" errorStyle="stop" operator="between" showDropDown="false" showErrorMessage="false" showInputMessage="false" sqref="B3:B52" type="list">
      <formula1>Setup!$A$4:$A$11</formula1>
      <formula2>0</formula2>
    </dataValidation>
    <dataValidation allowBlank="true" errorStyle="stop" operator="between" showDropDown="false" showErrorMessage="false" showInputMessage="false" sqref="H3:H52" type="list">
      <formula1>Setup!$B$4:$B$9</formula1>
      <formula2>0</formula2>
    </dataValidation>
    <dataValidation allowBlank="true" errorStyle="stop" operator="between" showDropDown="false" showErrorMessage="false" showInputMessage="false" sqref="D3:D52" type="list">
      <formula1>"Monthly,Quarterly,Annually,One-Time"</formula1>
      <formula2>0</formula2>
    </dataValidation>
    <dataValidation allowBlank="true" errorStyle="stop" operator="between" showDropDown="false" showErrorMessage="false" showInputMessage="false" sqref="I3:I52" type="list">
      <formula1>"Yes,No"</formula1>
      <formula2>0</formula2>
    </dataValidation>
    <dataValidation allowBlank="true" errorStyle="stop" operator="between" showDropDown="false" showErrorMessage="false" showInputMessage="false" sqref="J3:J52" type="list">
      <formula1>"Active,Paused,Cancelled"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12"/>
  </cols>
  <sheetData>
    <row r="1" customFormat="false" ht="30" hidden="false" customHeight="true" outlineLevel="0" collapsed="false">
      <c r="A1" s="11" t="s">
        <v>44</v>
      </c>
      <c r="B1" s="11"/>
      <c r="C1" s="11"/>
      <c r="D1" s="11"/>
      <c r="E1" s="11"/>
      <c r="F1" s="11"/>
      <c r="G1" s="11"/>
      <c r="H1" s="11"/>
    </row>
    <row r="2" customFormat="false" ht="21.75" hidden="false" customHeight="true" outlineLevel="0" collapsed="false">
      <c r="A2" s="12" t="s">
        <v>45</v>
      </c>
      <c r="B2" s="12"/>
      <c r="C2" s="12"/>
      <c r="D2" s="12"/>
      <c r="E2" s="12"/>
      <c r="F2" s="12"/>
      <c r="G2" s="12"/>
      <c r="H2" s="12"/>
    </row>
    <row r="3" customFormat="false" ht="15" hidden="false" customHeight="false" outlineLevel="0" collapsed="false">
      <c r="A3" s="5" t="s">
        <v>46</v>
      </c>
      <c r="B3" s="13" t="n">
        <v>2026</v>
      </c>
      <c r="C3" s="14" t="s">
        <v>47</v>
      </c>
      <c r="D3" s="15" t="n">
        <v>1</v>
      </c>
    </row>
    <row r="5" customFormat="false" ht="24" hidden="false" customHeight="true" outlineLevel="0" collapsed="false">
      <c r="A5" s="16" t="s">
        <v>48</v>
      </c>
      <c r="B5" s="16" t="s">
        <v>49</v>
      </c>
      <c r="C5" s="16" t="s">
        <v>50</v>
      </c>
      <c r="D5" s="16" t="s">
        <v>51</v>
      </c>
      <c r="E5" s="17"/>
      <c r="F5" s="18" t="s">
        <v>52</v>
      </c>
      <c r="G5" s="17"/>
      <c r="H5" s="17"/>
    </row>
    <row r="6" customFormat="false" ht="30" hidden="false" customHeight="true" outlineLevel="0" collapsed="false">
      <c r="A6" s="19" t="n">
        <f aca="false">SUMIFS('Bill Tracker'!$C$3:$C$52,'Bill Tracker'!$P$3:$P$52,TRUE())</f>
        <v>0</v>
      </c>
      <c r="B6" s="20" t="n">
        <f aca="false">COUNTIF('Bill Tracker'!$P$3:$P$52,TRUE())</f>
        <v>0</v>
      </c>
      <c r="C6" s="20" t="n">
        <f aca="false">COUNTIFS('Bill Tracker'!$P$3:$P$52,TRUE(),'Bill Tracker'!$I$3:$I$52,"Yes")</f>
        <v>0</v>
      </c>
      <c r="D6" s="20" t="n">
        <f aca="false">COUNTIFS('Bill Tracker'!$P$3:$P$52,TRUE(),'Bill Tracker'!$I$3:$I$52,"No")</f>
        <v>0</v>
      </c>
      <c r="E6" s="17"/>
      <c r="F6" s="21" t="s">
        <v>27</v>
      </c>
      <c r="G6" s="21" t="s">
        <v>53</v>
      </c>
      <c r="H6" s="17"/>
    </row>
    <row r="7" customFormat="false" ht="15" hidden="false" customHeight="false" outlineLevel="0" collapsed="false">
      <c r="F7" s="6" t="s">
        <v>12</v>
      </c>
      <c r="G7" s="22" t="n">
        <f aca="false">SUMIFS('Bill Tracker'!$C$3:$C$52,'Bill Tracker'!$B$3:$B$52,"Rent/Mortgage",'Bill Tracker'!$P$3:$P$52,TRUE())</f>
        <v>0</v>
      </c>
    </row>
    <row r="8" customFormat="false" ht="15" hidden="false" customHeight="false" outlineLevel="0" collapsed="false">
      <c r="F8" s="6" t="s">
        <v>14</v>
      </c>
      <c r="G8" s="22" t="n">
        <f aca="false">SUMIFS('Bill Tracker'!$C$3:$C$52,'Bill Tracker'!$B$3:$B$52,"Utilities",'Bill Tracker'!$P$3:$P$52,TRUE())</f>
        <v>0</v>
      </c>
    </row>
    <row r="9" customFormat="false" ht="15" hidden="false" customHeight="false" outlineLevel="0" collapsed="false">
      <c r="F9" s="6" t="s">
        <v>16</v>
      </c>
      <c r="G9" s="22" t="n">
        <f aca="false">SUMIFS('Bill Tracker'!$C$3:$C$52,'Bill Tracker'!$B$3:$B$52,"Software &amp; Subscriptions",'Bill Tracker'!$P$3:$P$52,TRUE())</f>
        <v>0</v>
      </c>
    </row>
    <row r="10" customFormat="false" ht="15" hidden="false" customHeight="false" outlineLevel="0" collapsed="false">
      <c r="F10" s="6" t="s">
        <v>18</v>
      </c>
      <c r="G10" s="22" t="n">
        <f aca="false">SUMIFS('Bill Tracker'!$C$3:$C$52,'Bill Tracker'!$B$3:$B$52,"Insurance",'Bill Tracker'!$P$3:$P$52,TRUE())</f>
        <v>0</v>
      </c>
    </row>
    <row r="11" customFormat="false" ht="15" hidden="false" customHeight="false" outlineLevel="0" collapsed="false">
      <c r="F11" s="6" t="s">
        <v>20</v>
      </c>
      <c r="G11" s="22" t="n">
        <f aca="false">SUMIFS('Bill Tracker'!$C$3:$C$52,'Bill Tracker'!$B$3:$B$52,"Loan Payment",'Bill Tracker'!$P$3:$P$52,TRUE())</f>
        <v>0</v>
      </c>
    </row>
    <row r="12" customFormat="false" ht="15" hidden="false" customHeight="false" outlineLevel="0" collapsed="false">
      <c r="F12" s="6" t="s">
        <v>22</v>
      </c>
      <c r="G12" s="22" t="n">
        <f aca="false">SUMIFS('Bill Tracker'!$C$3:$C$52,'Bill Tracker'!$B$3:$B$52,"Marketing",'Bill Tracker'!$P$3:$P$52,TRUE())</f>
        <v>0</v>
      </c>
    </row>
    <row r="13" customFormat="false" ht="15" hidden="false" customHeight="false" outlineLevel="0" collapsed="false">
      <c r="F13" s="6" t="s">
        <v>24</v>
      </c>
      <c r="G13" s="22" t="n">
        <f aca="false">SUMIFS('Bill Tracker'!$C$3:$C$52,'Bill Tracker'!$B$3:$B$52,"Supplies",'Bill Tracker'!$P$3:$P$52,TRUE())</f>
        <v>0</v>
      </c>
    </row>
    <row r="14" customFormat="false" ht="15" hidden="false" customHeight="false" outlineLevel="0" collapsed="false">
      <c r="F14" s="6" t="s">
        <v>23</v>
      </c>
      <c r="G14" s="22" t="n">
        <f aca="false">SUMIFS('Bill Tracker'!$C$3:$C$52,'Bill Tracker'!$B$3:$B$52,"Other",'Bill Tracker'!$P$3:$P$52,TRUE())</f>
        <v>0</v>
      </c>
    </row>
    <row r="16" customFormat="false" ht="15" hidden="false" customHeight="false" outlineLevel="0" collapsed="false">
      <c r="A16" s="3" t="s">
        <v>54</v>
      </c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23" t="s">
        <v>55</v>
      </c>
      <c r="B17" s="23" t="s">
        <v>56</v>
      </c>
      <c r="C17" s="23" t="s">
        <v>57</v>
      </c>
      <c r="D17" s="23" t="s">
        <v>58</v>
      </c>
      <c r="E17" s="23" t="s">
        <v>59</v>
      </c>
      <c r="F17" s="23" t="s">
        <v>60</v>
      </c>
      <c r="G17" s="23" t="s">
        <v>61</v>
      </c>
    </row>
    <row r="18" customFormat="false" ht="15.75" hidden="false" customHeight="true" outlineLevel="0" collapsed="false">
      <c r="A18" s="24" t="str">
        <f aca="false">IF(MONTH((DATE($B$3,$D$3,1)-(WEEKDAY(DATE($B$3,$D$3,1))-1)+0))&lt;&gt;$D$3,"",DAY((DATE($B$3,$D$3,1)-(WEEKDAY(DATE($B$3,$D$3,1))-1)+0)))</f>
        <v/>
      </c>
      <c r="B18" s="24" t="str">
        <f aca="false">IF(MONTH((DATE($B$3,$D$3,1)-(WEEKDAY(DATE($B$3,$D$3,1))-1)+1))&lt;&gt;$D$3,"",DAY((DATE($B$3,$D$3,1)-(WEEKDAY(DATE($B$3,$D$3,1))-1)+1)))</f>
        <v/>
      </c>
      <c r="C18" s="24" t="str">
        <f aca="false">IF(MONTH((DATE($B$3,$D$3,1)-(WEEKDAY(DATE($B$3,$D$3,1))-1)+2))&lt;&gt;$D$3,"",DAY((DATE($B$3,$D$3,1)-(WEEKDAY(DATE($B$3,$D$3,1))-1)+2)))</f>
        <v/>
      </c>
      <c r="D18" s="24" t="str">
        <f aca="false">IF(MONTH((DATE($B$3,$D$3,1)-(WEEKDAY(DATE($B$3,$D$3,1))-1)+3))&lt;&gt;$D$3,"",DAY((DATE($B$3,$D$3,1)-(WEEKDAY(DATE($B$3,$D$3,1))-1)+3)))</f>
        <v/>
      </c>
      <c r="E18" s="24" t="n">
        <f aca="false">IF(MONTH((DATE($B$3,$D$3,1)-(WEEKDAY(DATE($B$3,$D$3,1))-1)+4))&lt;&gt;$D$3,"",DAY((DATE($B$3,$D$3,1)-(WEEKDAY(DATE($B$3,$D$3,1))-1)+4)))</f>
        <v>1</v>
      </c>
      <c r="F18" s="24" t="n">
        <f aca="false">IF(MONTH((DATE($B$3,$D$3,1)-(WEEKDAY(DATE($B$3,$D$3,1))-1)+5))&lt;&gt;$D$3,"",DAY((DATE($B$3,$D$3,1)-(WEEKDAY(DATE($B$3,$D$3,1))-1)+5)))</f>
        <v>2</v>
      </c>
      <c r="G18" s="24" t="n">
        <f aca="false">IF(MONTH((DATE($B$3,$D$3,1)-(WEEKDAY(DATE($B$3,$D$3,1))-1)+6))&lt;&gt;$D$3,"",DAY((DATE($B$3,$D$3,1)-(WEEKDAY(DATE($B$3,$D$3,1))-1)+6)))</f>
        <v>3</v>
      </c>
    </row>
    <row r="19" customFormat="false" ht="15.75" hidden="false" customHeight="true" outlineLevel="0" collapsed="false">
      <c r="A19" s="25" t="str">
        <f aca="false">IF(MONTH((DATE($B$3,$D$3,1)-(WEEKDAY(DATE($B$3,$D$3,1))-1)+0))&lt;&gt;$D$3,"",SUMIFS('Bill Tracker'!$C$3:$C$52,'Bill Tracker'!$R$3:$R$52,(DATE($B$3,$D$3,1)-(WEEKDAY(DATE($B$3,$D$3,1))-1)+0)))</f>
        <v/>
      </c>
      <c r="B19" s="25" t="str">
        <f aca="false">IF(MONTH((DATE($B$3,$D$3,1)-(WEEKDAY(DATE($B$3,$D$3,1))-1)+1))&lt;&gt;$D$3,"",SUMIFS('Bill Tracker'!$C$3:$C$52,'Bill Tracker'!$R$3:$R$52,(DATE($B$3,$D$3,1)-(WEEKDAY(DATE($B$3,$D$3,1))-1)+1)))</f>
        <v/>
      </c>
      <c r="C19" s="25" t="str">
        <f aca="false">IF(MONTH((DATE($B$3,$D$3,1)-(WEEKDAY(DATE($B$3,$D$3,1))-1)+2))&lt;&gt;$D$3,"",SUMIFS('Bill Tracker'!$C$3:$C$52,'Bill Tracker'!$R$3:$R$52,(DATE($B$3,$D$3,1)-(WEEKDAY(DATE($B$3,$D$3,1))-1)+2)))</f>
        <v/>
      </c>
      <c r="D19" s="25" t="str">
        <f aca="false">IF(MONTH((DATE($B$3,$D$3,1)-(WEEKDAY(DATE($B$3,$D$3,1))-1)+3))&lt;&gt;$D$3,"",SUMIFS('Bill Tracker'!$C$3:$C$52,'Bill Tracker'!$R$3:$R$52,(DATE($B$3,$D$3,1)-(WEEKDAY(DATE($B$3,$D$3,1))-1)+3)))</f>
        <v/>
      </c>
      <c r="E19" s="25" t="n">
        <f aca="false">IF(MONTH((DATE($B$3,$D$3,1)-(WEEKDAY(DATE($B$3,$D$3,1))-1)+4))&lt;&gt;$D$3,"",SUMIFS('Bill Tracker'!$C$3:$C$52,'Bill Tracker'!$R$3:$R$52,(DATE($B$3,$D$3,1)-(WEEKDAY(DATE($B$3,$D$3,1))-1)+4)))</f>
        <v>0</v>
      </c>
      <c r="F19" s="25" t="n">
        <f aca="false">IF(MONTH((DATE($B$3,$D$3,1)-(WEEKDAY(DATE($B$3,$D$3,1))-1)+5))&lt;&gt;$D$3,"",SUMIFS('Bill Tracker'!$C$3:$C$52,'Bill Tracker'!$R$3:$R$52,(DATE($B$3,$D$3,1)-(WEEKDAY(DATE($B$3,$D$3,1))-1)+5)))</f>
        <v>0</v>
      </c>
      <c r="G19" s="25" t="n">
        <f aca="false">IF(MONTH((DATE($B$3,$D$3,1)-(WEEKDAY(DATE($B$3,$D$3,1))-1)+6))&lt;&gt;$D$3,"",SUMIFS('Bill Tracker'!$C$3:$C$52,'Bill Tracker'!$R$3:$R$52,(DATE($B$3,$D$3,1)-(WEEKDAY(DATE($B$3,$D$3,1))-1)+6)))</f>
        <v>0</v>
      </c>
    </row>
    <row r="20" customFormat="false" ht="15.75" hidden="false" customHeight="true" outlineLevel="0" collapsed="false">
      <c r="A20" s="24" t="n">
        <f aca="false">IF(MONTH((DATE($B$3,$D$3,1)-(WEEKDAY(DATE($B$3,$D$3,1))-1)+7))&lt;&gt;$D$3,"",DAY((DATE($B$3,$D$3,1)-(WEEKDAY(DATE($B$3,$D$3,1))-1)+7)))</f>
        <v>4</v>
      </c>
      <c r="B20" s="24" t="n">
        <f aca="false">IF(MONTH((DATE($B$3,$D$3,1)-(WEEKDAY(DATE($B$3,$D$3,1))-1)+8))&lt;&gt;$D$3,"",DAY((DATE($B$3,$D$3,1)-(WEEKDAY(DATE($B$3,$D$3,1))-1)+8)))</f>
        <v>5</v>
      </c>
      <c r="C20" s="24" t="n">
        <f aca="false">IF(MONTH((DATE($B$3,$D$3,1)-(WEEKDAY(DATE($B$3,$D$3,1))-1)+9))&lt;&gt;$D$3,"",DAY((DATE($B$3,$D$3,1)-(WEEKDAY(DATE($B$3,$D$3,1))-1)+9)))</f>
        <v>6</v>
      </c>
      <c r="D20" s="24" t="n">
        <f aca="false">IF(MONTH((DATE($B$3,$D$3,1)-(WEEKDAY(DATE($B$3,$D$3,1))-1)+10))&lt;&gt;$D$3,"",DAY((DATE($B$3,$D$3,1)-(WEEKDAY(DATE($B$3,$D$3,1))-1)+10)))</f>
        <v>7</v>
      </c>
      <c r="E20" s="24" t="n">
        <f aca="false">IF(MONTH((DATE($B$3,$D$3,1)-(WEEKDAY(DATE($B$3,$D$3,1))-1)+11))&lt;&gt;$D$3,"",DAY((DATE($B$3,$D$3,1)-(WEEKDAY(DATE($B$3,$D$3,1))-1)+11)))</f>
        <v>8</v>
      </c>
      <c r="F20" s="24" t="n">
        <f aca="false">IF(MONTH((DATE($B$3,$D$3,1)-(WEEKDAY(DATE($B$3,$D$3,1))-1)+12))&lt;&gt;$D$3,"",DAY((DATE($B$3,$D$3,1)-(WEEKDAY(DATE($B$3,$D$3,1))-1)+12)))</f>
        <v>9</v>
      </c>
      <c r="G20" s="24" t="n">
        <f aca="false">IF(MONTH((DATE($B$3,$D$3,1)-(WEEKDAY(DATE($B$3,$D$3,1))-1)+13))&lt;&gt;$D$3,"",DAY((DATE($B$3,$D$3,1)-(WEEKDAY(DATE($B$3,$D$3,1))-1)+13)))</f>
        <v>10</v>
      </c>
    </row>
    <row r="21" customFormat="false" ht="15.75" hidden="false" customHeight="true" outlineLevel="0" collapsed="false">
      <c r="A21" s="25" t="n">
        <f aca="false">IF(MONTH((DATE($B$3,$D$3,1)-(WEEKDAY(DATE($B$3,$D$3,1))-1)+7))&lt;&gt;$D$3,"",SUMIFS('Bill Tracker'!$C$3:$C$52,'Bill Tracker'!$R$3:$R$52,(DATE($B$3,$D$3,1)-(WEEKDAY(DATE($B$3,$D$3,1))-1)+7)))</f>
        <v>0</v>
      </c>
      <c r="B21" s="25" t="n">
        <f aca="false">IF(MONTH((DATE($B$3,$D$3,1)-(WEEKDAY(DATE($B$3,$D$3,1))-1)+8))&lt;&gt;$D$3,"",SUMIFS('Bill Tracker'!$C$3:$C$52,'Bill Tracker'!$R$3:$R$52,(DATE($B$3,$D$3,1)-(WEEKDAY(DATE($B$3,$D$3,1))-1)+8)))</f>
        <v>0</v>
      </c>
      <c r="C21" s="25" t="n">
        <f aca="false">IF(MONTH((DATE($B$3,$D$3,1)-(WEEKDAY(DATE($B$3,$D$3,1))-1)+9))&lt;&gt;$D$3,"",SUMIFS('Bill Tracker'!$C$3:$C$52,'Bill Tracker'!$R$3:$R$52,(DATE($B$3,$D$3,1)-(WEEKDAY(DATE($B$3,$D$3,1))-1)+9)))</f>
        <v>0</v>
      </c>
      <c r="D21" s="25" t="n">
        <f aca="false">IF(MONTH((DATE($B$3,$D$3,1)-(WEEKDAY(DATE($B$3,$D$3,1))-1)+10))&lt;&gt;$D$3,"",SUMIFS('Bill Tracker'!$C$3:$C$52,'Bill Tracker'!$R$3:$R$52,(DATE($B$3,$D$3,1)-(WEEKDAY(DATE($B$3,$D$3,1))-1)+10)))</f>
        <v>0</v>
      </c>
      <c r="E21" s="25" t="n">
        <f aca="false">IF(MONTH((DATE($B$3,$D$3,1)-(WEEKDAY(DATE($B$3,$D$3,1))-1)+11))&lt;&gt;$D$3,"",SUMIFS('Bill Tracker'!$C$3:$C$52,'Bill Tracker'!$R$3:$R$52,(DATE($B$3,$D$3,1)-(WEEKDAY(DATE($B$3,$D$3,1))-1)+11)))</f>
        <v>0</v>
      </c>
      <c r="F21" s="25" t="n">
        <f aca="false">IF(MONTH((DATE($B$3,$D$3,1)-(WEEKDAY(DATE($B$3,$D$3,1))-1)+12))&lt;&gt;$D$3,"",SUMIFS('Bill Tracker'!$C$3:$C$52,'Bill Tracker'!$R$3:$R$52,(DATE($B$3,$D$3,1)-(WEEKDAY(DATE($B$3,$D$3,1))-1)+12)))</f>
        <v>0</v>
      </c>
      <c r="G21" s="25" t="n">
        <f aca="false">IF(MONTH((DATE($B$3,$D$3,1)-(WEEKDAY(DATE($B$3,$D$3,1))-1)+13))&lt;&gt;$D$3,"",SUMIFS('Bill Tracker'!$C$3:$C$52,'Bill Tracker'!$R$3:$R$52,(DATE($B$3,$D$3,1)-(WEEKDAY(DATE($B$3,$D$3,1))-1)+13)))</f>
        <v>0</v>
      </c>
    </row>
    <row r="22" customFormat="false" ht="15.75" hidden="false" customHeight="true" outlineLevel="0" collapsed="false">
      <c r="A22" s="24" t="n">
        <f aca="false">IF(MONTH((DATE($B$3,$D$3,1)-(WEEKDAY(DATE($B$3,$D$3,1))-1)+14))&lt;&gt;$D$3,"",DAY((DATE($B$3,$D$3,1)-(WEEKDAY(DATE($B$3,$D$3,1))-1)+14)))</f>
        <v>11</v>
      </c>
      <c r="B22" s="24" t="n">
        <f aca="false">IF(MONTH((DATE($B$3,$D$3,1)-(WEEKDAY(DATE($B$3,$D$3,1))-1)+15))&lt;&gt;$D$3,"",DAY((DATE($B$3,$D$3,1)-(WEEKDAY(DATE($B$3,$D$3,1))-1)+15)))</f>
        <v>12</v>
      </c>
      <c r="C22" s="24" t="n">
        <f aca="false">IF(MONTH((DATE($B$3,$D$3,1)-(WEEKDAY(DATE($B$3,$D$3,1))-1)+16))&lt;&gt;$D$3,"",DAY((DATE($B$3,$D$3,1)-(WEEKDAY(DATE($B$3,$D$3,1))-1)+16)))</f>
        <v>13</v>
      </c>
      <c r="D22" s="24" t="n">
        <f aca="false">IF(MONTH((DATE($B$3,$D$3,1)-(WEEKDAY(DATE($B$3,$D$3,1))-1)+17))&lt;&gt;$D$3,"",DAY((DATE($B$3,$D$3,1)-(WEEKDAY(DATE($B$3,$D$3,1))-1)+17)))</f>
        <v>14</v>
      </c>
      <c r="E22" s="24" t="n">
        <f aca="false">IF(MONTH((DATE($B$3,$D$3,1)-(WEEKDAY(DATE($B$3,$D$3,1))-1)+18))&lt;&gt;$D$3,"",DAY((DATE($B$3,$D$3,1)-(WEEKDAY(DATE($B$3,$D$3,1))-1)+18)))</f>
        <v>15</v>
      </c>
      <c r="F22" s="24" t="n">
        <f aca="false">IF(MONTH((DATE($B$3,$D$3,1)-(WEEKDAY(DATE($B$3,$D$3,1))-1)+19))&lt;&gt;$D$3,"",DAY((DATE($B$3,$D$3,1)-(WEEKDAY(DATE($B$3,$D$3,1))-1)+19)))</f>
        <v>16</v>
      </c>
      <c r="G22" s="24" t="n">
        <f aca="false">IF(MONTH((DATE($B$3,$D$3,1)-(WEEKDAY(DATE($B$3,$D$3,1))-1)+20))&lt;&gt;$D$3,"",DAY((DATE($B$3,$D$3,1)-(WEEKDAY(DATE($B$3,$D$3,1))-1)+20)))</f>
        <v>17</v>
      </c>
    </row>
    <row r="23" customFormat="false" ht="15.75" hidden="false" customHeight="true" outlineLevel="0" collapsed="false">
      <c r="A23" s="25" t="n">
        <f aca="false">IF(MONTH((DATE($B$3,$D$3,1)-(WEEKDAY(DATE($B$3,$D$3,1))-1)+14))&lt;&gt;$D$3,"",SUMIFS('Bill Tracker'!$C$3:$C$52,'Bill Tracker'!$R$3:$R$52,(DATE($B$3,$D$3,1)-(WEEKDAY(DATE($B$3,$D$3,1))-1)+14)))</f>
        <v>0</v>
      </c>
      <c r="B23" s="25" t="n">
        <f aca="false">IF(MONTH((DATE($B$3,$D$3,1)-(WEEKDAY(DATE($B$3,$D$3,1))-1)+15))&lt;&gt;$D$3,"",SUMIFS('Bill Tracker'!$C$3:$C$52,'Bill Tracker'!$R$3:$R$52,(DATE($B$3,$D$3,1)-(WEEKDAY(DATE($B$3,$D$3,1))-1)+15)))</f>
        <v>0</v>
      </c>
      <c r="C23" s="25" t="n">
        <f aca="false">IF(MONTH((DATE($B$3,$D$3,1)-(WEEKDAY(DATE($B$3,$D$3,1))-1)+16))&lt;&gt;$D$3,"",SUMIFS('Bill Tracker'!$C$3:$C$52,'Bill Tracker'!$R$3:$R$52,(DATE($B$3,$D$3,1)-(WEEKDAY(DATE($B$3,$D$3,1))-1)+16)))</f>
        <v>0</v>
      </c>
      <c r="D23" s="25" t="n">
        <f aca="false">IF(MONTH((DATE($B$3,$D$3,1)-(WEEKDAY(DATE($B$3,$D$3,1))-1)+17))&lt;&gt;$D$3,"",SUMIFS('Bill Tracker'!$C$3:$C$52,'Bill Tracker'!$R$3:$R$52,(DATE($B$3,$D$3,1)-(WEEKDAY(DATE($B$3,$D$3,1))-1)+17)))</f>
        <v>0</v>
      </c>
      <c r="E23" s="25" t="n">
        <f aca="false">IF(MONTH((DATE($B$3,$D$3,1)-(WEEKDAY(DATE($B$3,$D$3,1))-1)+18))&lt;&gt;$D$3,"",SUMIFS('Bill Tracker'!$C$3:$C$52,'Bill Tracker'!$R$3:$R$52,(DATE($B$3,$D$3,1)-(WEEKDAY(DATE($B$3,$D$3,1))-1)+18)))</f>
        <v>0</v>
      </c>
      <c r="F23" s="25" t="n">
        <f aca="false">IF(MONTH((DATE($B$3,$D$3,1)-(WEEKDAY(DATE($B$3,$D$3,1))-1)+19))&lt;&gt;$D$3,"",SUMIFS('Bill Tracker'!$C$3:$C$52,'Bill Tracker'!$R$3:$R$52,(DATE($B$3,$D$3,1)-(WEEKDAY(DATE($B$3,$D$3,1))-1)+19)))</f>
        <v>0</v>
      </c>
      <c r="G23" s="25" t="n">
        <f aca="false">IF(MONTH((DATE($B$3,$D$3,1)-(WEEKDAY(DATE($B$3,$D$3,1))-1)+20))&lt;&gt;$D$3,"",SUMIFS('Bill Tracker'!$C$3:$C$52,'Bill Tracker'!$R$3:$R$52,(DATE($B$3,$D$3,1)-(WEEKDAY(DATE($B$3,$D$3,1))-1)+20)))</f>
        <v>0</v>
      </c>
    </row>
    <row r="24" customFormat="false" ht="15.75" hidden="false" customHeight="true" outlineLevel="0" collapsed="false">
      <c r="A24" s="24" t="n">
        <f aca="false">IF(MONTH((DATE($B$3,$D$3,1)-(WEEKDAY(DATE($B$3,$D$3,1))-1)+21))&lt;&gt;$D$3,"",DAY((DATE($B$3,$D$3,1)-(WEEKDAY(DATE($B$3,$D$3,1))-1)+21)))</f>
        <v>18</v>
      </c>
      <c r="B24" s="24" t="n">
        <f aca="false">IF(MONTH((DATE($B$3,$D$3,1)-(WEEKDAY(DATE($B$3,$D$3,1))-1)+22))&lt;&gt;$D$3,"",DAY((DATE($B$3,$D$3,1)-(WEEKDAY(DATE($B$3,$D$3,1))-1)+22)))</f>
        <v>19</v>
      </c>
      <c r="C24" s="24" t="n">
        <f aca="false">IF(MONTH((DATE($B$3,$D$3,1)-(WEEKDAY(DATE($B$3,$D$3,1))-1)+23))&lt;&gt;$D$3,"",DAY((DATE($B$3,$D$3,1)-(WEEKDAY(DATE($B$3,$D$3,1))-1)+23)))</f>
        <v>20</v>
      </c>
      <c r="D24" s="24" t="n">
        <f aca="false">IF(MONTH((DATE($B$3,$D$3,1)-(WEEKDAY(DATE($B$3,$D$3,1))-1)+24))&lt;&gt;$D$3,"",DAY((DATE($B$3,$D$3,1)-(WEEKDAY(DATE($B$3,$D$3,1))-1)+24)))</f>
        <v>21</v>
      </c>
      <c r="E24" s="24" t="n">
        <f aca="false">IF(MONTH((DATE($B$3,$D$3,1)-(WEEKDAY(DATE($B$3,$D$3,1))-1)+25))&lt;&gt;$D$3,"",DAY((DATE($B$3,$D$3,1)-(WEEKDAY(DATE($B$3,$D$3,1))-1)+25)))</f>
        <v>22</v>
      </c>
      <c r="F24" s="24" t="n">
        <f aca="false">IF(MONTH((DATE($B$3,$D$3,1)-(WEEKDAY(DATE($B$3,$D$3,1))-1)+26))&lt;&gt;$D$3,"",DAY((DATE($B$3,$D$3,1)-(WEEKDAY(DATE($B$3,$D$3,1))-1)+26)))</f>
        <v>23</v>
      </c>
      <c r="G24" s="24" t="n">
        <f aca="false">IF(MONTH((DATE($B$3,$D$3,1)-(WEEKDAY(DATE($B$3,$D$3,1))-1)+27))&lt;&gt;$D$3,"",DAY((DATE($B$3,$D$3,1)-(WEEKDAY(DATE($B$3,$D$3,1))-1)+27)))</f>
        <v>24</v>
      </c>
    </row>
    <row r="25" customFormat="false" ht="15.75" hidden="false" customHeight="true" outlineLevel="0" collapsed="false">
      <c r="A25" s="25" t="n">
        <f aca="false">IF(MONTH((DATE($B$3,$D$3,1)-(WEEKDAY(DATE($B$3,$D$3,1))-1)+21))&lt;&gt;$D$3,"",SUMIFS('Bill Tracker'!$C$3:$C$52,'Bill Tracker'!$R$3:$R$52,(DATE($B$3,$D$3,1)-(WEEKDAY(DATE($B$3,$D$3,1))-1)+21)))</f>
        <v>0</v>
      </c>
      <c r="B25" s="25" t="n">
        <f aca="false">IF(MONTH((DATE($B$3,$D$3,1)-(WEEKDAY(DATE($B$3,$D$3,1))-1)+22))&lt;&gt;$D$3,"",SUMIFS('Bill Tracker'!$C$3:$C$52,'Bill Tracker'!$R$3:$R$52,(DATE($B$3,$D$3,1)-(WEEKDAY(DATE($B$3,$D$3,1))-1)+22)))</f>
        <v>0</v>
      </c>
      <c r="C25" s="25" t="n">
        <f aca="false">IF(MONTH((DATE($B$3,$D$3,1)-(WEEKDAY(DATE($B$3,$D$3,1))-1)+23))&lt;&gt;$D$3,"",SUMIFS('Bill Tracker'!$C$3:$C$52,'Bill Tracker'!$R$3:$R$52,(DATE($B$3,$D$3,1)-(WEEKDAY(DATE($B$3,$D$3,1))-1)+23)))</f>
        <v>0</v>
      </c>
      <c r="D25" s="25" t="n">
        <f aca="false">IF(MONTH((DATE($B$3,$D$3,1)-(WEEKDAY(DATE($B$3,$D$3,1))-1)+24))&lt;&gt;$D$3,"",SUMIFS('Bill Tracker'!$C$3:$C$52,'Bill Tracker'!$R$3:$R$52,(DATE($B$3,$D$3,1)-(WEEKDAY(DATE($B$3,$D$3,1))-1)+24)))</f>
        <v>0</v>
      </c>
      <c r="E25" s="25" t="n">
        <f aca="false">IF(MONTH((DATE($B$3,$D$3,1)-(WEEKDAY(DATE($B$3,$D$3,1))-1)+25))&lt;&gt;$D$3,"",SUMIFS('Bill Tracker'!$C$3:$C$52,'Bill Tracker'!$R$3:$R$52,(DATE($B$3,$D$3,1)-(WEEKDAY(DATE($B$3,$D$3,1))-1)+25)))</f>
        <v>0</v>
      </c>
      <c r="F25" s="25" t="n">
        <f aca="false">IF(MONTH((DATE($B$3,$D$3,1)-(WEEKDAY(DATE($B$3,$D$3,1))-1)+26))&lt;&gt;$D$3,"",SUMIFS('Bill Tracker'!$C$3:$C$52,'Bill Tracker'!$R$3:$R$52,(DATE($B$3,$D$3,1)-(WEEKDAY(DATE($B$3,$D$3,1))-1)+26)))</f>
        <v>0</v>
      </c>
      <c r="G25" s="25" t="n">
        <f aca="false">IF(MONTH((DATE($B$3,$D$3,1)-(WEEKDAY(DATE($B$3,$D$3,1))-1)+27))&lt;&gt;$D$3,"",SUMIFS('Bill Tracker'!$C$3:$C$52,'Bill Tracker'!$R$3:$R$52,(DATE($B$3,$D$3,1)-(WEEKDAY(DATE($B$3,$D$3,1))-1)+27)))</f>
        <v>0</v>
      </c>
    </row>
    <row r="26" customFormat="false" ht="15.75" hidden="false" customHeight="true" outlineLevel="0" collapsed="false">
      <c r="A26" s="24" t="n">
        <f aca="false">IF(MONTH((DATE($B$3,$D$3,1)-(WEEKDAY(DATE($B$3,$D$3,1))-1)+28))&lt;&gt;$D$3,"",DAY((DATE($B$3,$D$3,1)-(WEEKDAY(DATE($B$3,$D$3,1))-1)+28)))</f>
        <v>25</v>
      </c>
      <c r="B26" s="24" t="n">
        <f aca="false">IF(MONTH((DATE($B$3,$D$3,1)-(WEEKDAY(DATE($B$3,$D$3,1))-1)+29))&lt;&gt;$D$3,"",DAY((DATE($B$3,$D$3,1)-(WEEKDAY(DATE($B$3,$D$3,1))-1)+29)))</f>
        <v>26</v>
      </c>
      <c r="C26" s="24" t="n">
        <f aca="false">IF(MONTH((DATE($B$3,$D$3,1)-(WEEKDAY(DATE($B$3,$D$3,1))-1)+30))&lt;&gt;$D$3,"",DAY((DATE($B$3,$D$3,1)-(WEEKDAY(DATE($B$3,$D$3,1))-1)+30)))</f>
        <v>27</v>
      </c>
      <c r="D26" s="24" t="n">
        <f aca="false">IF(MONTH((DATE($B$3,$D$3,1)-(WEEKDAY(DATE($B$3,$D$3,1))-1)+31))&lt;&gt;$D$3,"",DAY((DATE($B$3,$D$3,1)-(WEEKDAY(DATE($B$3,$D$3,1))-1)+31)))</f>
        <v>28</v>
      </c>
      <c r="E26" s="24" t="n">
        <f aca="false">IF(MONTH((DATE($B$3,$D$3,1)-(WEEKDAY(DATE($B$3,$D$3,1))-1)+32))&lt;&gt;$D$3,"",DAY((DATE($B$3,$D$3,1)-(WEEKDAY(DATE($B$3,$D$3,1))-1)+32)))</f>
        <v>29</v>
      </c>
      <c r="F26" s="24" t="n">
        <f aca="false">IF(MONTH((DATE($B$3,$D$3,1)-(WEEKDAY(DATE($B$3,$D$3,1))-1)+33))&lt;&gt;$D$3,"",DAY((DATE($B$3,$D$3,1)-(WEEKDAY(DATE($B$3,$D$3,1))-1)+33)))</f>
        <v>30</v>
      </c>
      <c r="G26" s="24" t="n">
        <f aca="false">IF(MONTH((DATE($B$3,$D$3,1)-(WEEKDAY(DATE($B$3,$D$3,1))-1)+34))&lt;&gt;$D$3,"",DAY((DATE($B$3,$D$3,1)-(WEEKDAY(DATE($B$3,$D$3,1))-1)+34)))</f>
        <v>31</v>
      </c>
    </row>
    <row r="27" customFormat="false" ht="15.75" hidden="false" customHeight="true" outlineLevel="0" collapsed="false">
      <c r="A27" s="25" t="n">
        <f aca="false">IF(MONTH((DATE($B$3,$D$3,1)-(WEEKDAY(DATE($B$3,$D$3,1))-1)+28))&lt;&gt;$D$3,"",SUMIFS('Bill Tracker'!$C$3:$C$52,'Bill Tracker'!$R$3:$R$52,(DATE($B$3,$D$3,1)-(WEEKDAY(DATE($B$3,$D$3,1))-1)+28)))</f>
        <v>0</v>
      </c>
      <c r="B27" s="25" t="n">
        <f aca="false">IF(MONTH((DATE($B$3,$D$3,1)-(WEEKDAY(DATE($B$3,$D$3,1))-1)+29))&lt;&gt;$D$3,"",SUMIFS('Bill Tracker'!$C$3:$C$52,'Bill Tracker'!$R$3:$R$52,(DATE($B$3,$D$3,1)-(WEEKDAY(DATE($B$3,$D$3,1))-1)+29)))</f>
        <v>0</v>
      </c>
      <c r="C27" s="25" t="n">
        <f aca="false">IF(MONTH((DATE($B$3,$D$3,1)-(WEEKDAY(DATE($B$3,$D$3,1))-1)+30))&lt;&gt;$D$3,"",SUMIFS('Bill Tracker'!$C$3:$C$52,'Bill Tracker'!$R$3:$R$52,(DATE($B$3,$D$3,1)-(WEEKDAY(DATE($B$3,$D$3,1))-1)+30)))</f>
        <v>0</v>
      </c>
      <c r="D27" s="25" t="n">
        <f aca="false">IF(MONTH((DATE($B$3,$D$3,1)-(WEEKDAY(DATE($B$3,$D$3,1))-1)+31))&lt;&gt;$D$3,"",SUMIFS('Bill Tracker'!$C$3:$C$52,'Bill Tracker'!$R$3:$R$52,(DATE($B$3,$D$3,1)-(WEEKDAY(DATE($B$3,$D$3,1))-1)+31)))</f>
        <v>0</v>
      </c>
      <c r="E27" s="25" t="n">
        <f aca="false">IF(MONTH((DATE($B$3,$D$3,1)-(WEEKDAY(DATE($B$3,$D$3,1))-1)+32))&lt;&gt;$D$3,"",SUMIFS('Bill Tracker'!$C$3:$C$52,'Bill Tracker'!$R$3:$R$52,(DATE($B$3,$D$3,1)-(WEEKDAY(DATE($B$3,$D$3,1))-1)+32)))</f>
        <v>0</v>
      </c>
      <c r="F27" s="25" t="n">
        <f aca="false">IF(MONTH((DATE($B$3,$D$3,1)-(WEEKDAY(DATE($B$3,$D$3,1))-1)+33))&lt;&gt;$D$3,"",SUMIFS('Bill Tracker'!$C$3:$C$52,'Bill Tracker'!$R$3:$R$52,(DATE($B$3,$D$3,1)-(WEEKDAY(DATE($B$3,$D$3,1))-1)+33)))</f>
        <v>0</v>
      </c>
      <c r="G27" s="25" t="n">
        <f aca="false">IF(MONTH((DATE($B$3,$D$3,1)-(WEEKDAY(DATE($B$3,$D$3,1))-1)+34))&lt;&gt;$D$3,"",SUMIFS('Bill Tracker'!$C$3:$C$52,'Bill Tracker'!$R$3:$R$52,(DATE($B$3,$D$3,1)-(WEEKDAY(DATE($B$3,$D$3,1))-1)+34)))</f>
        <v>0</v>
      </c>
    </row>
    <row r="28" customFormat="false" ht="15.75" hidden="false" customHeight="true" outlineLevel="0" collapsed="false">
      <c r="A28" s="24" t="str">
        <f aca="false">IF(MONTH((DATE($B$3,$D$3,1)-(WEEKDAY(DATE($B$3,$D$3,1))-1)+35))&lt;&gt;$D$3,"",DAY((DATE($B$3,$D$3,1)-(WEEKDAY(DATE($B$3,$D$3,1))-1)+35)))</f>
        <v/>
      </c>
      <c r="B28" s="24" t="str">
        <f aca="false">IF(MONTH((DATE($B$3,$D$3,1)-(WEEKDAY(DATE($B$3,$D$3,1))-1)+36))&lt;&gt;$D$3,"",DAY((DATE($B$3,$D$3,1)-(WEEKDAY(DATE($B$3,$D$3,1))-1)+36)))</f>
        <v/>
      </c>
      <c r="C28" s="24" t="str">
        <f aca="false">IF(MONTH((DATE($B$3,$D$3,1)-(WEEKDAY(DATE($B$3,$D$3,1))-1)+37))&lt;&gt;$D$3,"",DAY((DATE($B$3,$D$3,1)-(WEEKDAY(DATE($B$3,$D$3,1))-1)+37)))</f>
        <v/>
      </c>
      <c r="D28" s="24" t="str">
        <f aca="false">IF(MONTH((DATE($B$3,$D$3,1)-(WEEKDAY(DATE($B$3,$D$3,1))-1)+38))&lt;&gt;$D$3,"",DAY((DATE($B$3,$D$3,1)-(WEEKDAY(DATE($B$3,$D$3,1))-1)+38)))</f>
        <v/>
      </c>
      <c r="E28" s="24" t="str">
        <f aca="false">IF(MONTH((DATE($B$3,$D$3,1)-(WEEKDAY(DATE($B$3,$D$3,1))-1)+39))&lt;&gt;$D$3,"",DAY((DATE($B$3,$D$3,1)-(WEEKDAY(DATE($B$3,$D$3,1))-1)+39)))</f>
        <v/>
      </c>
      <c r="F28" s="24" t="str">
        <f aca="false">IF(MONTH((DATE($B$3,$D$3,1)-(WEEKDAY(DATE($B$3,$D$3,1))-1)+40))&lt;&gt;$D$3,"",DAY((DATE($B$3,$D$3,1)-(WEEKDAY(DATE($B$3,$D$3,1))-1)+40)))</f>
        <v/>
      </c>
      <c r="G28" s="24" t="str">
        <f aca="false">IF(MONTH((DATE($B$3,$D$3,1)-(WEEKDAY(DATE($B$3,$D$3,1))-1)+41))&lt;&gt;$D$3,"",DAY((DATE($B$3,$D$3,1)-(WEEKDAY(DATE($B$3,$D$3,1))-1)+41)))</f>
        <v/>
      </c>
    </row>
    <row r="29" customFormat="false" ht="15.75" hidden="false" customHeight="true" outlineLevel="0" collapsed="false">
      <c r="A29" s="25" t="str">
        <f aca="false">IF(MONTH((DATE($B$3,$D$3,1)-(WEEKDAY(DATE($B$3,$D$3,1))-1)+35))&lt;&gt;$D$3,"",SUMIFS('Bill Tracker'!$C$3:$C$52,'Bill Tracker'!$R$3:$R$52,(DATE($B$3,$D$3,1)-(WEEKDAY(DATE($B$3,$D$3,1))-1)+35)))</f>
        <v/>
      </c>
      <c r="B29" s="25" t="str">
        <f aca="false">IF(MONTH((DATE($B$3,$D$3,1)-(WEEKDAY(DATE($B$3,$D$3,1))-1)+36))&lt;&gt;$D$3,"",SUMIFS('Bill Tracker'!$C$3:$C$52,'Bill Tracker'!$R$3:$R$52,(DATE($B$3,$D$3,1)-(WEEKDAY(DATE($B$3,$D$3,1))-1)+36)))</f>
        <v/>
      </c>
      <c r="C29" s="25" t="str">
        <f aca="false">IF(MONTH((DATE($B$3,$D$3,1)-(WEEKDAY(DATE($B$3,$D$3,1))-1)+37))&lt;&gt;$D$3,"",SUMIFS('Bill Tracker'!$C$3:$C$52,'Bill Tracker'!$R$3:$R$52,(DATE($B$3,$D$3,1)-(WEEKDAY(DATE($B$3,$D$3,1))-1)+37)))</f>
        <v/>
      </c>
      <c r="D29" s="25" t="str">
        <f aca="false">IF(MONTH((DATE($B$3,$D$3,1)-(WEEKDAY(DATE($B$3,$D$3,1))-1)+38))&lt;&gt;$D$3,"",SUMIFS('Bill Tracker'!$C$3:$C$52,'Bill Tracker'!$R$3:$R$52,(DATE($B$3,$D$3,1)-(WEEKDAY(DATE($B$3,$D$3,1))-1)+38)))</f>
        <v/>
      </c>
      <c r="E29" s="25" t="str">
        <f aca="false">IF(MONTH((DATE($B$3,$D$3,1)-(WEEKDAY(DATE($B$3,$D$3,1))-1)+39))&lt;&gt;$D$3,"",SUMIFS('Bill Tracker'!$C$3:$C$52,'Bill Tracker'!$R$3:$R$52,(DATE($B$3,$D$3,1)-(WEEKDAY(DATE($B$3,$D$3,1))-1)+39)))</f>
        <v/>
      </c>
      <c r="F29" s="25" t="str">
        <f aca="false">IF(MONTH((DATE($B$3,$D$3,1)-(WEEKDAY(DATE($B$3,$D$3,1))-1)+40))&lt;&gt;$D$3,"",SUMIFS('Bill Tracker'!$C$3:$C$52,'Bill Tracker'!$R$3:$R$52,(DATE($B$3,$D$3,1)-(WEEKDAY(DATE($B$3,$D$3,1))-1)+40)))</f>
        <v/>
      </c>
      <c r="G29" s="25" t="str">
        <f aca="false">IF(MONTH((DATE($B$3,$D$3,1)-(WEEKDAY(DATE($B$3,$D$3,1))-1)+41))&lt;&gt;$D$3,"",SUMIFS('Bill Tracker'!$C$3:$C$52,'Bill Tracker'!$R$3:$R$52,(DATE($B$3,$D$3,1)-(WEEKDAY(DATE($B$3,$D$3,1))-1)+41)))</f>
        <v/>
      </c>
    </row>
  </sheetData>
  <mergeCells count="3">
    <mergeCell ref="A1:H1"/>
    <mergeCell ref="A2:H2"/>
    <mergeCell ref="A16:G16"/>
  </mergeCells>
  <conditionalFormatting sqref="A19:G19">
    <cfRule type="expression" priority="2" aboveAverage="0" equalAverage="0" bottom="0" percent="0" rank="0" text="" dxfId="2">
      <formula>A19&gt;0</formula>
    </cfRule>
  </conditionalFormatting>
  <conditionalFormatting sqref="A21:G21">
    <cfRule type="expression" priority="3" aboveAverage="0" equalAverage="0" bottom="0" percent="0" rank="0" text="" dxfId="2">
      <formula>A21&gt;0</formula>
    </cfRule>
  </conditionalFormatting>
  <conditionalFormatting sqref="A23:G23">
    <cfRule type="expression" priority="4" aboveAverage="0" equalAverage="0" bottom="0" percent="0" rank="0" text="" dxfId="2">
      <formula>A23&gt;0</formula>
    </cfRule>
  </conditionalFormatting>
  <conditionalFormatting sqref="A25:G25">
    <cfRule type="expression" priority="5" aboveAverage="0" equalAverage="0" bottom="0" percent="0" rank="0" text="" dxfId="2">
      <formula>A25&gt;0</formula>
    </cfRule>
  </conditionalFormatting>
  <conditionalFormatting sqref="A27:G27">
    <cfRule type="expression" priority="6" aboveAverage="0" equalAverage="0" bottom="0" percent="0" rank="0" text="" dxfId="2">
      <formula>A27&gt;0</formula>
    </cfRule>
  </conditionalFormatting>
  <conditionalFormatting sqref="A29:G29">
    <cfRule type="expression" priority="7" aboveAverage="0" equalAverage="0" bottom="0" percent="0" rank="0" text="" dxfId="2">
      <formula>A29&gt;0</formula>
    </cfRule>
  </conditionalFormatting>
  <dataValidations count="1">
    <dataValidation allowBlank="true" errorStyle="stop" operator="between" showDropDown="false" showErrorMessage="false" showInputMessage="false" sqref="D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2026-08-16T03:21:47Z</dcterms:created>
  <dc:creator>openpyxl</dc:creator>
  <dc:description/>
  <dc:language>en-US</dc:language>
  <cp:lastModifiedBy/>
  <dcterms:modified xsi:type="dcterms:W3CDTF">2026-08-16T03:22:09Z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