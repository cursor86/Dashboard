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etup" sheetId="2" state="visible" r:id="rId4"/>
    <sheet name="Sales Transactions" sheetId="3" state="visible" r:id="rId5"/>
    <sheet name="Product Performance" sheetId="4" state="visible" r:id="rId6"/>
    <sheet name="Revenue Dashboard" sheetId="5" state="visible" r:id="rId7"/>
    <sheet name="Notes &amp; Legen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<sst xmlns="http://schemas.openxmlformats.org/spreadsheetml/2006/main" count="111" uniqueCount="77">
  <si>
    <t xml:space="preserve">How to Use This Sales &amp; Revenue Analytics Dashboard</t>
  </si>
  <si>
    <t xml:space="preserve">1. Open 'Setup' first. Confirm your product categories, regions, and sales channels.</t>
  </si>
  <si>
    <t xml:space="preserve">2. Log every sale in 'Sales Transactions' — Date, Order ID, Product, Category, Region, Channel, Qty, and Unit Price. Revenue calculates automatically.</t>
  </si>
  <si>
    <t xml:space="preserve">3. List every product you sell in 'Product Performance' — Revenue, Units Sold, and Sales Rank calculate automatically from your transactions.</t>
  </si>
  <si>
    <t xml:space="preserve">4. Change the Year/Month selector at the top of 'Revenue Dashboard' to see that period's KPIs and charts update automatically.</t>
  </si>
  <si>
    <t xml:space="preserve">5. Only edit yellow (input) or white cells. Green-header and formula cells update automatically — do not overwrite them.</t>
  </si>
  <si>
    <t xml:space="preserve">6. To log more than the pre-formatted rows, select the last formatted row and copy it downward; formulas will carry over.</t>
  </si>
  <si>
    <t xml:space="preserve">Prepared for {{CLIENT_NAME}} ({{NICHE}}). Amounts are in {{CURRENCY}}.</t>
  </si>
  <si>
    <t xml:space="preserve">{{CLIENT_NAME}} — Setup</t>
  </si>
  <si>
    <t xml:space="preserve">{{NICHE}} — configure once, everything else updates automatically</t>
  </si>
  <si>
    <t xml:space="preserve">Category</t>
  </si>
  <si>
    <t xml:space="preserve">Region</t>
  </si>
  <si>
    <t xml:space="preserve">Sales Channel</t>
  </si>
  <si>
    <t xml:space="preserve">Apparel</t>
  </si>
  <si>
    <t xml:space="preserve">North America</t>
  </si>
  <si>
    <t xml:space="preserve">Etsy</t>
  </si>
  <si>
    <t xml:space="preserve">Accessories</t>
  </si>
  <si>
    <t xml:space="preserve">Europe</t>
  </si>
  <si>
    <t xml:space="preserve">Website</t>
  </si>
  <si>
    <t xml:space="preserve">Home Goods</t>
  </si>
  <si>
    <t xml:space="preserve">Asia Pacific</t>
  </si>
  <si>
    <t xml:space="preserve">Amazon</t>
  </si>
  <si>
    <t xml:space="preserve">Digital</t>
  </si>
  <si>
    <t xml:space="preserve">Other</t>
  </si>
  <si>
    <t xml:space="preserve">Instagram</t>
  </si>
  <si>
    <t xml:space="preserve">Custom / Made-to-Order</t>
  </si>
  <si>
    <t xml:space="preserve">{{CLIENT_NAME}} — Sales Transactions</t>
  </si>
  <si>
    <t xml:space="preserve">Date</t>
  </si>
  <si>
    <t xml:space="preserve">Order ID</t>
  </si>
  <si>
    <t xml:space="preserve">Product</t>
  </si>
  <si>
    <t xml:space="preserve">Channel</t>
  </si>
  <si>
    <t xml:space="preserve">Qty</t>
  </si>
  <si>
    <t xml:space="preserve">Unit Price ({{CURRENCY}})</t>
  </si>
  <si>
    <t xml:space="preserve">Revenue ({{CURRENCY}})</t>
  </si>
  <si>
    <t xml:space="preserve">Year</t>
  </si>
  <si>
    <t xml:space="preserve">Month</t>
  </si>
  <si>
    <t xml:space="preserve">{{CLIENT_NAME}} — Product Performance</t>
  </si>
  <si>
    <t xml:space="preserve">{{NICHE}} — figures in {{CURRENCY}}</t>
  </si>
  <si>
    <t xml:space="preserve">Units Sold</t>
  </si>
  <si>
    <t xml:space="preserve">Sales Rank</t>
  </si>
  <si>
    <t xml:space="preserve">Top 10 Products by Revenue</t>
  </si>
  <si>
    <t xml:space="preserve">Rank</t>
  </si>
  <si>
    <t xml:space="preserve">Revenue</t>
  </si>
  <si>
    <t xml:space="preserve">{{CLIENT_NAME}} — Revenue Dashboard</t>
  </si>
  <si>
    <t xml:space="preserve">Total Revenue ({{CURRENCY}})</t>
  </si>
  <si>
    <t xml:space="preserve">Total Orders</t>
  </si>
  <si>
    <t xml:space="preserve">Avg Order Value ({{CURRENCY}})</t>
  </si>
  <si>
    <t xml:space="preserve">Total Units Sold</t>
  </si>
  <si>
    <t xml:space="preserve">Monthly Revenue — Selected Year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</si>
  <si>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</si>
  <si>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</si>
  <si>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</si>
  <si>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</si>
  <si>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</si>
  <si>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</si>
  <si>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</si>
  <si>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</si>
  <si>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</si>
  <si>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</si>
  <si>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</si>
  <si>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</si>
  <si>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Revenue by Category</t>
  </si>
  <si>
    <t xml:space="preserve">Revenue by Region</t>
  </si>
  <si>
    <t xml:space="preserve">Revenue by Channel</t>
  </si>
  <si>
    <t xml:space="preserve">Notes &amp; Legend</t>
  </si>
  <si>
    <t xml:space="preserve">Color / Style</t>
  </si>
  <si>
    <t xml:space="preserve">Meaning</t>
  </si>
  <si>
    <t xml:space="preserve">Yellow cells</t>
  </si>
  <si>
    <t xml:space="preserve">Input cells — change these (Year selector).</t>
  </si>
  <si>
    <t xml:space="preserve">White cells with borders</t>
  </si>
  <si>
    <t xml:space="preserve">Data entry rows in Sales Transactions and Product Performance.</t>
  </si>
  <si>
    <t xml:space="preserve">Green header cells</t>
  </si>
  <si>
    <t xml:space="preserve">Column headers — do not edit.</t>
  </si>
  <si>
    <t xml:space="preserve">Black formula cells</t>
  </si>
  <si>
    <t xml:space="preserve">Calculated automatically — do not overwrite (Revenue, Units Sold, Sales Rank, etc.).</t>
  </si>
  <si>
    <t xml:space="preserve">Colored bars inside cells</t>
  </si>
  <si>
    <t xml:space="preserve">Data bars on the Revenue column in Product Performance — longer bar = larger amount.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</si>
</sst>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#,##0.00"/>
    <numFmt numFmtId="167" formatCode="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F5233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i val="true"/>
      <sz val="12"/>
      <color rgb="FF555555"/>
      <name val="Arial"/>
      <family val="0"/>
      <charset val="1"/>
    </font>
    <font>
      <b val="true"/>
      <sz val="11"/>
      <color rgb="FF2F52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2"/>
      <color rgb="FFC9DFC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b val="true"/>
      <sz val="9"/>
      <color rgb="FF1F3B21"/>
      <name val="Arial"/>
      <family val="0"/>
      <charset val="1"/>
    </font>
    <font>
      <b val="true"/>
      <sz val="16"/>
      <color rgb="FF1F3B2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5233"/>
        <bgColor rgb="FF1F3B21"/>
      </patternFill>
    </fill>
    <fill>
      <patternFill patternType="solid">
        <fgColor rgb="FFFFFDE7"/>
        <bgColor rgb="FFFFFFFF"/>
      </patternFill>
    </fill>
    <fill>
      <patternFill patternType="solid">
        <fgColor rgb="FFDCEAD5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/>
      <right/>
      <top/>
      <bottom style="thin">
        <color rgb="FF2F5233"/>
      </bottom>
      <diagonal/>
    </border>
    <border diagonalUp="false" diagonalDown="false">
      <left style="thin">
        <color rgb="FF4C7A47"/>
      </left>
      <right style="thin">
        <color rgb="FF4C7A47"/>
      </right>
      <top style="thin">
        <color rgb="FF4C7A47"/>
      </top>
      <bottom style="thin">
        <color rgb="FF4C7A4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C0504D"/>
      <rgbColor rgb="FFFFFDE7"/>
      <rgbColor rgb="FFC9DFC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CEAD5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FF6600"/>
      <rgbColor rgb="FF8064A2"/>
      <rgbColor rgb="FF888888"/>
      <rgbColor rgb="FF003366"/>
      <rgbColor rgb="FF4C7A47"/>
      <rgbColor rgb="FF003300"/>
      <rgbColor rgb="FF2F5233"/>
      <rgbColor rgb="FF993300"/>
      <rgbColor rgb="FF993366"/>
      <rgbColor rgb="FF555555"/>
      <rgbColor rgb="FF1F3B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Products by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'Product Performance'!I6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f5233"/>
            </a:solidFill>
            <a:ln w="0">
              <a:solidFill>
                <a:srgbClr val="2f52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Performance'!$H$7:$H$16</c:f>
              <c:strCache>
                <c:ptCount val="10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'Product Performance'!$I$7:$I$16</c:f>
              <c:numCache>
                <c:formatCode>General</c:formatCode>
                <c:ptCount val="10"/>
              </c:numCache>
            </c:numRef>
          </c:val>
        </c:ser>
        <c:gapWidth val="150"/>
        <c:overlap val="0"/>
        <c:axId val="85478628"/>
        <c:axId val="33340350"/>
      </c:barChart>
      <c:catAx>
        <c:axId val="854786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340350"/>
        <c:crosses val="autoZero"/>
        <c:auto val="1"/>
        <c:lblAlgn val="ctr"/>
        <c:lblOffset val="100"/>
        <c:noMultiLvlLbl val="0"/>
      </c:catAx>
      <c:valAx>
        <c:axId val="333403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{{CURRENCY}}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47862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'Revenue Dashboard'!B10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f5233"/>
            </a:solidFill>
            <a:ln w="0">
              <a:solidFill>
                <a:srgbClr val="2f52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Dashboard'!$A$11:$A$22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'Revenue Dashboard'!$B$11:$B$22</c:f>
              <c:numCache>
                <c:formatCode>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150"/>
        <c:overlap val="0"/>
        <c:axId val="83605963"/>
        <c:axId val="89831716"/>
      </c:barChart>
      <c:catAx>
        <c:axId val="836059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831716"/>
        <c:crosses val="autoZero"/>
        <c:auto val="1"/>
        <c:lblAlgn val="ctr"/>
        <c:lblOffset val="100"/>
        <c:noMultiLvlLbl val="0"/>
      </c:catAx>
      <c:valAx>
        <c:axId val="898317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{{CURRENCY}}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6059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'Revenue Dashboard'!$A$26:$A$31</c:f>
              <c:strCache>
                <c:ptCount val="6"/>
                <c:pt idx="0">
                  <c:v>Apparel</c:v>
                </c:pt>
                <c:pt idx="1">
                  <c:v>Accessories</c:v>
                </c:pt>
                <c:pt idx="2">
                  <c:v>Home Goods</c:v>
                </c:pt>
                <c:pt idx="3">
                  <c:v>Digital</c:v>
                </c:pt>
                <c:pt idx="4">
                  <c:v>Custom / Made-to-Order</c:v>
                </c:pt>
                <c:pt idx="5">
                  <c:v>Other</c:v>
                </c:pt>
              </c:strCache>
            </c:strRef>
          </c:cat>
          <c:val>
            <c:numRef>
              <c:f>'Revenue Dashboard'!$B$26:$B$31</c:f>
              <c:numCache>
                <c:formatCode>#,##0.00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'Revenue Dashboard'!B36</c:f>
              <c:strCache>
                <c:ptCount val="1"/>
                <c:pt idx="0">
                  <c:v>0.00</c:v>
                </c:pt>
              </c:strCache>
            </c:strRef>
          </c:tx>
          <c:spPr>
            <a:solidFill>
              <a:srgbClr val="2f5233"/>
            </a:solidFill>
            <a:ln w="0">
              <a:solidFill>
                <a:srgbClr val="2f5233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Dashboard'!$A$36:$A$39</c:f>
              <c:strCache>
                <c:ptCount val="4"/>
                <c:pt idx="0">
                  <c:v>North America</c:v>
                </c:pt>
                <c:pt idx="1">
                  <c:v>Europe</c:v>
                </c:pt>
                <c:pt idx="2">
                  <c:v>Asia Pacific</c:v>
                </c:pt>
                <c:pt idx="3">
                  <c:v>Other</c:v>
                </c:pt>
              </c:strCache>
            </c:strRef>
          </c:cat>
          <c:val>
            <c:numRef>
              <c:f>'Revenue Dashboard'!$B$37:$B$39</c:f>
              <c:numCache>
                <c:formatCode>#,##0.00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44869790"/>
        <c:axId val="20786432"/>
      </c:barChart>
      <c:catAx>
        <c:axId val="448697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786432"/>
        <c:crosses val="autoZero"/>
        <c:auto val="1"/>
        <c:lblAlgn val="ctr"/>
        <c:lblOffset val="100"/>
        <c:noMultiLvlLbl val="0"/>
      </c:catAx>
      <c:valAx>
        <c:axId val="207864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{{CURRENCY}}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86979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Channel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1"/>
          </c:dLbls>
          <c:cat>
            <c:strRef>
              <c:f>'Revenue Dashboard'!$A$46:$A$50</c:f>
              <c:strCache>
                <c:ptCount val="5"/>
                <c:pt idx="0">
                  <c:v>Etsy</c:v>
                </c:pt>
                <c:pt idx="1">
                  <c:v>Website</c:v>
                </c:pt>
                <c:pt idx="2">
                  <c:v>Amazon</c:v>
                </c:pt>
                <c:pt idx="3">
                  <c:v>Instagram</c:v>
                </c:pt>
                <c:pt idx="4">
                  <c:v>Other</c:v>
                </c:pt>
              </c:strCache>
            </c:strRef>
          </c:cat>
          <c:val>
            <c:numRef>
              <c:f>'Revenue Dashboard'!$B$46:$B$50</c:f>
              <c:numCache>
                <c:formatCode>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Relationship Id="rId3" Type="http://schemas.openxmlformats.org/officeDocument/2006/relationships/chart" Target="../charts/chart4.xml"/><Relationship Id="rId4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10</xdr:col>
      <xdr:colOff>0</xdr:colOff>
      <xdr:row>4</xdr:row>
      <xdr:rowOff>0</xdr:rowOff>
    </xdr:from>
    <xdr:to>
      <xdr:col>17</xdr:col>
      <xdr:colOff>447840</xdr:colOff>
      <xdr:row>20</xdr:row>
      <xdr:rowOff>41040</xdr:rowOff>
    </xdr:to>
    <xdr:graphicFrame>
      <xdr:nvGraphicFramePr>
        <xdr:cNvPr id="0" name="Chart 1"/>
        <xdr:cNvGraphicFramePr/>
      </xdr:nvGraphicFramePr>
      <xdr:xfrm>
        <a:off x="13430160" y="10382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8</xdr:row>
      <xdr:rowOff>0</xdr:rowOff>
    </xdr:from>
    <xdr:to>
      <xdr:col>9</xdr:col>
      <xdr:colOff>365400</xdr:colOff>
      <xdr:row>22</xdr:row>
      <xdr:rowOff>32400</xdr:rowOff>
    </xdr:to>
    <xdr:graphicFrame>
      <xdr:nvGraphicFramePr>
        <xdr:cNvPr id="1" name="Chart 1"/>
        <xdr:cNvGraphicFramePr/>
      </xdr:nvGraphicFramePr>
      <xdr:xfrm>
        <a:off x="4444920" y="21049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23</xdr:row>
      <xdr:rowOff>0</xdr:rowOff>
    </xdr:from>
    <xdr:to>
      <xdr:col>6</xdr:col>
      <xdr:colOff>481680</xdr:colOff>
      <xdr:row>37</xdr:row>
      <xdr:rowOff>32760</xdr:rowOff>
    </xdr:to>
    <xdr:graphicFrame>
      <xdr:nvGraphicFramePr>
        <xdr:cNvPr id="2" name="Chart 2"/>
        <xdr:cNvGraphicFramePr/>
      </xdr:nvGraphicFramePr>
      <xdr:xfrm>
        <a:off x="4444920" y="4962600"/>
        <a:ext cx="35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0</xdr:colOff>
      <xdr:row>33</xdr:row>
      <xdr:rowOff>0</xdr:rowOff>
    </xdr:from>
    <xdr:to>
      <xdr:col>7</xdr:col>
      <xdr:colOff>442800</xdr:colOff>
      <xdr:row>47</xdr:row>
      <xdr:rowOff>32400</xdr:rowOff>
    </xdr:to>
    <xdr:graphicFrame>
      <xdr:nvGraphicFramePr>
        <xdr:cNvPr id="3" name="Chart 3"/>
        <xdr:cNvGraphicFramePr/>
      </xdr:nvGraphicFramePr>
      <xdr:xfrm>
        <a:off x="4444920" y="6867360"/>
        <a:ext cx="43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0</xdr:colOff>
      <xdr:row>43</xdr:row>
      <xdr:rowOff>0</xdr:rowOff>
    </xdr:from>
    <xdr:to>
      <xdr:col>6</xdr:col>
      <xdr:colOff>481680</xdr:colOff>
      <xdr:row>57</xdr:row>
      <xdr:rowOff>32760</xdr:rowOff>
    </xdr:to>
    <xdr:graphicFrame>
      <xdr:nvGraphicFramePr>
        <xdr:cNvPr id="4" name="Chart 4"/>
        <xdr:cNvGraphicFramePr/>
      </xdr:nvGraphicFramePr>
      <xdr:xfrm>
        <a:off x="4444920" y="8772480"/>
        <a:ext cx="35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8" min="1" style="0" width="18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4" customFormat="false" ht="27.75" hidden="false" customHeight="true" outlineLevel="0" collapsed="false">
      <c r="A4" s="2" t="s">
        <v>1</v>
      </c>
      <c r="B4" s="2"/>
      <c r="C4" s="2"/>
      <c r="D4" s="2"/>
      <c r="E4" s="2"/>
      <c r="F4" s="2"/>
      <c r="G4" s="2"/>
      <c r="H4" s="2"/>
    </row>
    <row r="5" customFormat="false" ht="27.75" hidden="false" customHeight="true" outlineLevel="0" collapsed="false">
      <c r="A5" s="2" t="s">
        <v>2</v>
      </c>
      <c r="B5" s="2"/>
      <c r="C5" s="2"/>
      <c r="D5" s="2"/>
      <c r="E5" s="2"/>
      <c r="F5" s="2"/>
      <c r="G5" s="2"/>
      <c r="H5" s="2"/>
    </row>
    <row r="6" customFormat="false" ht="27.75" hidden="false" customHeight="true" outlineLevel="0" collapsed="false">
      <c r="A6" s="2" t="s">
        <v>3</v>
      </c>
      <c r="B6" s="2"/>
      <c r="C6" s="2"/>
      <c r="D6" s="2"/>
      <c r="E6" s="2"/>
      <c r="F6" s="2"/>
      <c r="G6" s="2"/>
      <c r="H6" s="2"/>
    </row>
    <row r="7" customFormat="false" ht="27.75" hidden="false" customHeight="true" outlineLevel="0" collapsed="false">
      <c r="A7" s="2" t="s">
        <v>4</v>
      </c>
      <c r="B7" s="2"/>
      <c r="C7" s="2"/>
      <c r="D7" s="2"/>
      <c r="E7" s="2"/>
      <c r="F7" s="2"/>
      <c r="G7" s="2"/>
      <c r="H7" s="2"/>
    </row>
    <row r="8" customFormat="false" ht="27.75" hidden="false" customHeight="true" outlineLevel="0" collapsed="false">
      <c r="A8" s="2" t="s">
        <v>5</v>
      </c>
      <c r="B8" s="2"/>
      <c r="C8" s="2"/>
      <c r="D8" s="2"/>
      <c r="E8" s="2"/>
      <c r="F8" s="2"/>
      <c r="G8" s="2"/>
      <c r="H8" s="2"/>
    </row>
    <row r="9" customFormat="false" ht="27.75" hidden="false" customHeight="true" outlineLevel="0" collapsed="false">
      <c r="A9" s="2" t="s">
        <v>6</v>
      </c>
      <c r="B9" s="2"/>
      <c r="C9" s="2"/>
      <c r="D9" s="2"/>
      <c r="E9" s="2"/>
      <c r="F9" s="2"/>
      <c r="G9" s="2"/>
      <c r="H9" s="2"/>
    </row>
    <row r="11" customFormat="false" ht="15" hidden="false" customHeight="false" outlineLevel="0" collapsed="false">
      <c r="A11" s="3" t="s">
        <v>7</v>
      </c>
      <c r="B11" s="3"/>
      <c r="C11" s="3"/>
      <c r="D11" s="3"/>
      <c r="E11" s="3"/>
      <c r="F11" s="3"/>
      <c r="G11" s="3"/>
      <c r="H11" s="3"/>
    </row>
  </sheetData>
  <mergeCells count="8">
    <mergeCell ref="A1:H1"/>
    <mergeCell ref="A4:H4"/>
    <mergeCell ref="A5:H5"/>
    <mergeCell ref="A6:H6"/>
    <mergeCell ref="A7:H7"/>
    <mergeCell ref="A8:H8"/>
    <mergeCell ref="A9:H9"/>
    <mergeCell ref="A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16"/>
  </cols>
  <sheetData>
    <row r="1" customFormat="false" ht="16.15" hidden="false" customHeight="false" outlineLevel="0" collapsed="false">
      <c r="A1" s="1" t="s">
        <v>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4" t="s">
        <v>9</v>
      </c>
      <c r="B2" s="4"/>
      <c r="C2" s="4"/>
      <c r="D2" s="4"/>
      <c r="E2" s="4"/>
      <c r="F2" s="4"/>
      <c r="G2" s="4"/>
      <c r="H2" s="4"/>
    </row>
    <row r="3" customFormat="false" ht="15" hidden="false" customHeight="false" outlineLevel="0" collapsed="false">
      <c r="A3" s="5" t="s">
        <v>10</v>
      </c>
      <c r="B3" s="5" t="s">
        <v>11</v>
      </c>
      <c r="C3" s="5" t="s">
        <v>12</v>
      </c>
    </row>
    <row r="4" customFormat="false" ht="15" hidden="false" customHeight="false" outlineLevel="0" collapsed="false">
      <c r="A4" s="6" t="s">
        <v>13</v>
      </c>
      <c r="B4" s="6" t="s">
        <v>14</v>
      </c>
      <c r="C4" s="6" t="s">
        <v>15</v>
      </c>
    </row>
    <row r="5" customFormat="false" ht="15" hidden="false" customHeight="false" outlineLevel="0" collapsed="false">
      <c r="A5" s="6" t="s">
        <v>16</v>
      </c>
      <c r="B5" s="6" t="s">
        <v>17</v>
      </c>
      <c r="C5" s="6" t="s">
        <v>18</v>
      </c>
    </row>
    <row r="6" customFormat="false" ht="15" hidden="false" customHeight="false" outlineLevel="0" collapsed="false">
      <c r="A6" s="6" t="s">
        <v>19</v>
      </c>
      <c r="B6" s="6" t="s">
        <v>20</v>
      </c>
      <c r="C6" s="6" t="s">
        <v>21</v>
      </c>
    </row>
    <row r="7" customFormat="false" ht="15" hidden="false" customHeight="false" outlineLevel="0" collapsed="false">
      <c r="A7" s="6" t="s">
        <v>22</v>
      </c>
      <c r="B7" s="6" t="s">
        <v>23</v>
      </c>
      <c r="C7" s="6" t="s">
        <v>24</v>
      </c>
    </row>
    <row r="8" customFormat="false" ht="15" hidden="false" customHeight="false" outlineLevel="0" collapsed="false">
      <c r="A8" s="6" t="s">
        <v>25</v>
      </c>
      <c r="C8" s="6" t="s">
        <v>23</v>
      </c>
    </row>
    <row r="9" customFormat="false" ht="15" hidden="false" customHeight="false" outlineLevel="0" collapsed="false">
      <c r="A9" s="6" t="s">
        <v>23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9" min="8" style="0" width="14"/>
    <col collapsed="false" customWidth="true" hidden="false" outlineLevel="0" max="11" min="10" style="0" width="8"/>
  </cols>
  <sheetData>
    <row r="1" customFormat="false" ht="16.15" hidden="false" customHeight="false" outlineLevel="0" collapsed="false">
      <c r="A1" s="1" t="s">
        <v>26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26.85" hidden="false" customHeight="false" outlineLevel="0" collapsed="false">
      <c r="A2" s="7" t="s">
        <v>27</v>
      </c>
      <c r="B2" s="7" t="s">
        <v>28</v>
      </c>
      <c r="C2" s="7" t="s">
        <v>29</v>
      </c>
      <c r="D2" s="7" t="s">
        <v>10</v>
      </c>
      <c r="E2" s="7" t="s">
        <v>11</v>
      </c>
      <c r="F2" s="7" t="s">
        <v>30</v>
      </c>
      <c r="G2" s="7" t="s">
        <v>31</v>
      </c>
      <c r="H2" s="7" t="s">
        <v>32</v>
      </c>
      <c r="I2" s="7" t="s">
        <v>33</v>
      </c>
      <c r="J2" s="7" t="s">
        <v>34</v>
      </c>
      <c r="K2" s="7" t="s">
        <v>35</v>
      </c>
    </row>
    <row r="3" customFormat="false" ht="15" hidden="false" customHeight="false" outlineLevel="0" collapsed="false">
      <c r="A3" s="8"/>
      <c r="B3" s="9"/>
      <c r="C3" s="9"/>
      <c r="D3" s="9"/>
      <c r="E3" s="9"/>
      <c r="F3" s="9"/>
      <c r="G3" s="9"/>
      <c r="H3" s="10"/>
      <c r="I3" s="10" t="n">
        <f aca="false">IFERROR(G3*H3,0)</f>
        <v>0</v>
      </c>
      <c r="J3" s="9" t="n">
        <f aca="false">IFERROR(YEAR(A3),"")</f>
        <v>1899</v>
      </c>
      <c r="K3" s="9" t="n">
        <f aca="false">IFERROR(MONTH(A3),"")</f>
        <v>12</v>
      </c>
    </row>
    <row r="4" customFormat="false" ht="15" hidden="false" customHeight="false" outlineLevel="0" collapsed="false">
      <c r="A4" s="8"/>
      <c r="B4" s="9"/>
      <c r="C4" s="9"/>
      <c r="D4" s="9"/>
      <c r="E4" s="9"/>
      <c r="F4" s="9"/>
      <c r="G4" s="9"/>
      <c r="H4" s="10"/>
      <c r="I4" s="10" t="n">
        <f aca="false">IFERROR(G4*H4,0)</f>
        <v>0</v>
      </c>
      <c r="J4" s="9" t="n">
        <f aca="false">IFERROR(YEAR(A4),"")</f>
        <v>1899</v>
      </c>
      <c r="K4" s="9" t="n">
        <f aca="false">IFERROR(MONTH(A4),"")</f>
        <v>12</v>
      </c>
    </row>
    <row r="5" customFormat="false" ht="15" hidden="false" customHeight="false" outlineLevel="0" collapsed="false">
      <c r="A5" s="8"/>
      <c r="B5" s="9"/>
      <c r="C5" s="9"/>
      <c r="D5" s="9"/>
      <c r="E5" s="9"/>
      <c r="F5" s="9"/>
      <c r="G5" s="9"/>
      <c r="H5" s="10"/>
      <c r="I5" s="10" t="n">
        <f aca="false">IFERROR(G5*H5,0)</f>
        <v>0</v>
      </c>
      <c r="J5" s="9" t="n">
        <f aca="false">IFERROR(YEAR(A5),"")</f>
        <v>1899</v>
      </c>
      <c r="K5" s="9" t="n">
        <f aca="false">IFERROR(MONTH(A5),"")</f>
        <v>12</v>
      </c>
    </row>
    <row r="6" customFormat="false" ht="15" hidden="false" customHeight="false" outlineLevel="0" collapsed="false">
      <c r="A6" s="8"/>
      <c r="B6" s="9"/>
      <c r="C6" s="9"/>
      <c r="D6" s="9"/>
      <c r="E6" s="9"/>
      <c r="F6" s="9"/>
      <c r="G6" s="9"/>
      <c r="H6" s="10"/>
      <c r="I6" s="10" t="n">
        <f aca="false">IFERROR(G6*H6,0)</f>
        <v>0</v>
      </c>
      <c r="J6" s="9" t="n">
        <f aca="false">IFERROR(YEAR(A6),"")</f>
        <v>1899</v>
      </c>
      <c r="K6" s="9" t="n">
        <f aca="false">IFERROR(MONTH(A6),"")</f>
        <v>12</v>
      </c>
    </row>
    <row r="7" customFormat="false" ht="15" hidden="false" customHeight="false" outlineLevel="0" collapsed="false">
      <c r="A7" s="8"/>
      <c r="B7" s="9"/>
      <c r="C7" s="9"/>
      <c r="D7" s="9"/>
      <c r="E7" s="9"/>
      <c r="F7" s="9"/>
      <c r="G7" s="9"/>
      <c r="H7" s="10"/>
      <c r="I7" s="10" t="n">
        <f aca="false">IFERROR(G7*H7,0)</f>
        <v>0</v>
      </c>
      <c r="J7" s="9" t="n">
        <f aca="false">IFERROR(YEAR(A7),"")</f>
        <v>1899</v>
      </c>
      <c r="K7" s="9" t="n">
        <f aca="false">IFERROR(MONTH(A7),"")</f>
        <v>12</v>
      </c>
    </row>
    <row r="8" customFormat="false" ht="15" hidden="false" customHeight="false" outlineLevel="0" collapsed="false">
      <c r="A8" s="8"/>
      <c r="B8" s="9"/>
      <c r="C8" s="9"/>
      <c r="D8" s="9"/>
      <c r="E8" s="9"/>
      <c r="F8" s="9"/>
      <c r="G8" s="9"/>
      <c r="H8" s="10"/>
      <c r="I8" s="10" t="n">
        <f aca="false">IFERROR(G8*H8,0)</f>
        <v>0</v>
      </c>
      <c r="J8" s="9" t="n">
        <f aca="false">IFERROR(YEAR(A8),"")</f>
        <v>1899</v>
      </c>
      <c r="K8" s="9" t="n">
        <f aca="false">IFERROR(MONTH(A8),"")</f>
        <v>12</v>
      </c>
    </row>
    <row r="9" customFormat="false" ht="15" hidden="false" customHeight="false" outlineLevel="0" collapsed="false">
      <c r="A9" s="8"/>
      <c r="B9" s="9"/>
      <c r="C9" s="9"/>
      <c r="D9" s="9"/>
      <c r="E9" s="9"/>
      <c r="F9" s="9"/>
      <c r="G9" s="9"/>
      <c r="H9" s="10"/>
      <c r="I9" s="10" t="n">
        <f aca="false">IFERROR(G9*H9,0)</f>
        <v>0</v>
      </c>
      <c r="J9" s="9" t="n">
        <f aca="false">IFERROR(YEAR(A9),"")</f>
        <v>1899</v>
      </c>
      <c r="K9" s="9" t="n">
        <f aca="false">IFERROR(MONTH(A9),"")</f>
        <v>12</v>
      </c>
    </row>
    <row r="10" customFormat="false" ht="15" hidden="false" customHeight="false" outlineLevel="0" collapsed="false">
      <c r="A10" s="8"/>
      <c r="B10" s="9"/>
      <c r="C10" s="9"/>
      <c r="D10" s="9"/>
      <c r="E10" s="9"/>
      <c r="F10" s="9"/>
      <c r="G10" s="9"/>
      <c r="H10" s="10"/>
      <c r="I10" s="10" t="n">
        <f aca="false">IFERROR(G10*H10,0)</f>
        <v>0</v>
      </c>
      <c r="J10" s="9" t="n">
        <f aca="false">IFERROR(YEAR(A10),"")</f>
        <v>1899</v>
      </c>
      <c r="K10" s="9" t="n">
        <f aca="false">IFERROR(MONTH(A10),"")</f>
        <v>12</v>
      </c>
    </row>
    <row r="11" customFormat="false" ht="15" hidden="false" customHeight="false" outlineLevel="0" collapsed="false">
      <c r="A11" s="8"/>
      <c r="B11" s="9"/>
      <c r="C11" s="9"/>
      <c r="D11" s="9"/>
      <c r="E11" s="9"/>
      <c r="F11" s="9"/>
      <c r="G11" s="9"/>
      <c r="H11" s="10"/>
      <c r="I11" s="10" t="n">
        <f aca="false">IFERROR(G11*H11,0)</f>
        <v>0</v>
      </c>
      <c r="J11" s="9" t="n">
        <f aca="false">IFERROR(YEAR(A11),"")</f>
        <v>1899</v>
      </c>
      <c r="K11" s="9" t="n">
        <f aca="false">IFERROR(MONTH(A11),"")</f>
        <v>12</v>
      </c>
    </row>
    <row r="12" customFormat="false" ht="15" hidden="false" customHeight="false" outlineLevel="0" collapsed="false">
      <c r="A12" s="8"/>
      <c r="B12" s="9"/>
      <c r="C12" s="9"/>
      <c r="D12" s="9"/>
      <c r="E12" s="9"/>
      <c r="F12" s="9"/>
      <c r="G12" s="9"/>
      <c r="H12" s="10"/>
      <c r="I12" s="10" t="n">
        <f aca="false">IFERROR(G12*H12,0)</f>
        <v>0</v>
      </c>
      <c r="J12" s="9" t="n">
        <f aca="false">IFERROR(YEAR(A12),"")</f>
        <v>1899</v>
      </c>
      <c r="K12" s="9" t="n">
        <f aca="false">IFERROR(MONTH(A12),"")</f>
        <v>12</v>
      </c>
    </row>
    <row r="13" customFormat="false" ht="15" hidden="false" customHeight="false" outlineLevel="0" collapsed="false">
      <c r="A13" s="8"/>
      <c r="B13" s="9"/>
      <c r="C13" s="9"/>
      <c r="D13" s="9"/>
      <c r="E13" s="9"/>
      <c r="F13" s="9"/>
      <c r="G13" s="9"/>
      <c r="H13" s="10"/>
      <c r="I13" s="10" t="n">
        <f aca="false">IFERROR(G13*H13,0)</f>
        <v>0</v>
      </c>
      <c r="J13" s="9" t="n">
        <f aca="false">IFERROR(YEAR(A13),"")</f>
        <v>1899</v>
      </c>
      <c r="K13" s="9" t="n">
        <f aca="false">IFERROR(MONTH(A13),"")</f>
        <v>12</v>
      </c>
    </row>
    <row r="14" customFormat="false" ht="15" hidden="false" customHeight="false" outlineLevel="0" collapsed="false">
      <c r="A14" s="8"/>
      <c r="B14" s="9"/>
      <c r="C14" s="9"/>
      <c r="D14" s="9"/>
      <c r="E14" s="9"/>
      <c r="F14" s="9"/>
      <c r="G14" s="9"/>
      <c r="H14" s="10"/>
      <c r="I14" s="10" t="n">
        <f aca="false">IFERROR(G14*H14,0)</f>
        <v>0</v>
      </c>
      <c r="J14" s="9" t="n">
        <f aca="false">IFERROR(YEAR(A14),"")</f>
        <v>1899</v>
      </c>
      <c r="K14" s="9" t="n">
        <f aca="false">IFERROR(MONTH(A14),"")</f>
        <v>12</v>
      </c>
    </row>
    <row r="15" customFormat="false" ht="15" hidden="false" customHeight="false" outlineLevel="0" collapsed="false">
      <c r="A15" s="8"/>
      <c r="B15" s="9"/>
      <c r="C15" s="9"/>
      <c r="D15" s="9"/>
      <c r="E15" s="9"/>
      <c r="F15" s="9"/>
      <c r="G15" s="9"/>
      <c r="H15" s="10"/>
      <c r="I15" s="10" t="n">
        <f aca="false">IFERROR(G15*H15,0)</f>
        <v>0</v>
      </c>
      <c r="J15" s="9" t="n">
        <f aca="false">IFERROR(YEAR(A15),"")</f>
        <v>1899</v>
      </c>
      <c r="K15" s="9" t="n">
        <f aca="false">IFERROR(MONTH(A15),"")</f>
        <v>12</v>
      </c>
    </row>
    <row r="16" customFormat="false" ht="15" hidden="false" customHeight="false" outlineLevel="0" collapsed="false">
      <c r="A16" s="8"/>
      <c r="B16" s="9"/>
      <c r="C16" s="9"/>
      <c r="D16" s="9"/>
      <c r="E16" s="9"/>
      <c r="F16" s="9"/>
      <c r="G16" s="9"/>
      <c r="H16" s="10"/>
      <c r="I16" s="10" t="n">
        <f aca="false">IFERROR(G16*H16,0)</f>
        <v>0</v>
      </c>
      <c r="J16" s="9" t="n">
        <f aca="false">IFERROR(YEAR(A16),"")</f>
        <v>1899</v>
      </c>
      <c r="K16" s="9" t="n">
        <f aca="false">IFERROR(MONTH(A16),"")</f>
        <v>12</v>
      </c>
    </row>
    <row r="17" customFormat="false" ht="15" hidden="false" customHeight="false" outlineLevel="0" collapsed="false">
      <c r="A17" s="8"/>
      <c r="B17" s="9"/>
      <c r="C17" s="9"/>
      <c r="D17" s="9"/>
      <c r="E17" s="9"/>
      <c r="F17" s="9"/>
      <c r="G17" s="9"/>
      <c r="H17" s="10"/>
      <c r="I17" s="10" t="n">
        <f aca="false">IFERROR(G17*H17,0)</f>
        <v>0</v>
      </c>
      <c r="J17" s="9" t="n">
        <f aca="false">IFERROR(YEAR(A17),"")</f>
        <v>1899</v>
      </c>
      <c r="K17" s="9" t="n">
        <f aca="false">IFERROR(MONTH(A17),"")</f>
        <v>12</v>
      </c>
    </row>
    <row r="18" customFormat="false" ht="15" hidden="false" customHeight="false" outlineLevel="0" collapsed="false">
      <c r="A18" s="8"/>
      <c r="B18" s="9"/>
      <c r="C18" s="9"/>
      <c r="D18" s="9"/>
      <c r="E18" s="9"/>
      <c r="F18" s="9"/>
      <c r="G18" s="9"/>
      <c r="H18" s="10"/>
      <c r="I18" s="10" t="n">
        <f aca="false">IFERROR(G18*H18,0)</f>
        <v>0</v>
      </c>
      <c r="J18" s="9" t="n">
        <f aca="false">IFERROR(YEAR(A18),"")</f>
        <v>1899</v>
      </c>
      <c r="K18" s="9" t="n">
        <f aca="false">IFERROR(MONTH(A18),"")</f>
        <v>12</v>
      </c>
    </row>
    <row r="19" customFormat="false" ht="15" hidden="false" customHeight="false" outlineLevel="0" collapsed="false">
      <c r="A19" s="8"/>
      <c r="B19" s="9"/>
      <c r="C19" s="9"/>
      <c r="D19" s="9"/>
      <c r="E19" s="9"/>
      <c r="F19" s="9"/>
      <c r="G19" s="9"/>
      <c r="H19" s="10"/>
      <c r="I19" s="10" t="n">
        <f aca="false">IFERROR(G19*H19,0)</f>
        <v>0</v>
      </c>
      <c r="J19" s="9" t="n">
        <f aca="false">IFERROR(YEAR(A19),"")</f>
        <v>1899</v>
      </c>
      <c r="K19" s="9" t="n">
        <f aca="false">IFERROR(MONTH(A19),"")</f>
        <v>12</v>
      </c>
    </row>
    <row r="20" customFormat="false" ht="15" hidden="false" customHeight="false" outlineLevel="0" collapsed="false">
      <c r="A20" s="8"/>
      <c r="B20" s="9"/>
      <c r="C20" s="9"/>
      <c r="D20" s="9"/>
      <c r="E20" s="9"/>
      <c r="F20" s="9"/>
      <c r="G20" s="9"/>
      <c r="H20" s="10"/>
      <c r="I20" s="10" t="n">
        <f aca="false">IFERROR(G20*H20,0)</f>
        <v>0</v>
      </c>
      <c r="J20" s="9" t="n">
        <f aca="false">IFERROR(YEAR(A20),"")</f>
        <v>1899</v>
      </c>
      <c r="K20" s="9" t="n">
        <f aca="false">IFERROR(MONTH(A20),"")</f>
        <v>12</v>
      </c>
    </row>
    <row r="21" customFormat="false" ht="15" hidden="false" customHeight="false" outlineLevel="0" collapsed="false">
      <c r="A21" s="8"/>
      <c r="B21" s="9"/>
      <c r="C21" s="9"/>
      <c r="D21" s="9"/>
      <c r="E21" s="9"/>
      <c r="F21" s="9"/>
      <c r="G21" s="9"/>
      <c r="H21" s="10"/>
      <c r="I21" s="10" t="n">
        <f aca="false">IFERROR(G21*H21,0)</f>
        <v>0</v>
      </c>
      <c r="J21" s="9" t="n">
        <f aca="false">IFERROR(YEAR(A21),"")</f>
        <v>1899</v>
      </c>
      <c r="K21" s="9" t="n">
        <f aca="false">IFERROR(MONTH(A21),"")</f>
        <v>12</v>
      </c>
    </row>
    <row r="22" customFormat="false" ht="15" hidden="false" customHeight="false" outlineLevel="0" collapsed="false">
      <c r="A22" s="8"/>
      <c r="B22" s="9"/>
      <c r="C22" s="9"/>
      <c r="D22" s="9"/>
      <c r="E22" s="9"/>
      <c r="F22" s="9"/>
      <c r="G22" s="9"/>
      <c r="H22" s="10"/>
      <c r="I22" s="10" t="n">
        <f aca="false">IFERROR(G22*H22,0)</f>
        <v>0</v>
      </c>
      <c r="J22" s="9" t="n">
        <f aca="false">IFERROR(YEAR(A22),"")</f>
        <v>1899</v>
      </c>
      <c r="K22" s="9" t="n">
        <f aca="false">IFERROR(MONTH(A22),"")</f>
        <v>12</v>
      </c>
    </row>
    <row r="23" customFormat="false" ht="15" hidden="false" customHeight="false" outlineLevel="0" collapsed="false">
      <c r="A23" s="8"/>
      <c r="B23" s="9"/>
      <c r="C23" s="9"/>
      <c r="D23" s="9"/>
      <c r="E23" s="9"/>
      <c r="F23" s="9"/>
      <c r="G23" s="9"/>
      <c r="H23" s="10"/>
      <c r="I23" s="10" t="n">
        <f aca="false">IFERROR(G23*H23,0)</f>
        <v>0</v>
      </c>
      <c r="J23" s="9" t="n">
        <f aca="false">IFERROR(YEAR(A23),"")</f>
        <v>1899</v>
      </c>
      <c r="K23" s="9" t="n">
        <f aca="false">IFERROR(MONTH(A23),"")</f>
        <v>12</v>
      </c>
    </row>
    <row r="24" customFormat="false" ht="15" hidden="false" customHeight="false" outlineLevel="0" collapsed="false">
      <c r="A24" s="8"/>
      <c r="B24" s="9"/>
      <c r="C24" s="9"/>
      <c r="D24" s="9"/>
      <c r="E24" s="9"/>
      <c r="F24" s="9"/>
      <c r="G24" s="9"/>
      <c r="H24" s="10"/>
      <c r="I24" s="10" t="n">
        <f aca="false">IFERROR(G24*H24,0)</f>
        <v>0</v>
      </c>
      <c r="J24" s="9" t="n">
        <f aca="false">IFERROR(YEAR(A24),"")</f>
        <v>1899</v>
      </c>
      <c r="K24" s="9" t="n">
        <f aca="false">IFERROR(MONTH(A24),"")</f>
        <v>12</v>
      </c>
    </row>
    <row r="25" customFormat="false" ht="15" hidden="false" customHeight="false" outlineLevel="0" collapsed="false">
      <c r="A25" s="8"/>
      <c r="B25" s="9"/>
      <c r="C25" s="9"/>
      <c r="D25" s="9"/>
      <c r="E25" s="9"/>
      <c r="F25" s="9"/>
      <c r="G25" s="9"/>
      <c r="H25" s="10"/>
      <c r="I25" s="10" t="n">
        <f aca="false">IFERROR(G25*H25,0)</f>
        <v>0</v>
      </c>
      <c r="J25" s="9" t="n">
        <f aca="false">IFERROR(YEAR(A25),"")</f>
        <v>1899</v>
      </c>
      <c r="K25" s="9" t="n">
        <f aca="false">IFERROR(MONTH(A25),"")</f>
        <v>12</v>
      </c>
    </row>
    <row r="26" customFormat="false" ht="15" hidden="false" customHeight="false" outlineLevel="0" collapsed="false">
      <c r="A26" s="8"/>
      <c r="B26" s="9"/>
      <c r="C26" s="9"/>
      <c r="D26" s="9"/>
      <c r="E26" s="9"/>
      <c r="F26" s="9"/>
      <c r="G26" s="9"/>
      <c r="H26" s="10"/>
      <c r="I26" s="10" t="n">
        <f aca="false">IFERROR(G26*H26,0)</f>
        <v>0</v>
      </c>
      <c r="J26" s="9" t="n">
        <f aca="false">IFERROR(YEAR(A26),"")</f>
        <v>1899</v>
      </c>
      <c r="K26" s="9" t="n">
        <f aca="false">IFERROR(MONTH(A26),"")</f>
        <v>12</v>
      </c>
    </row>
    <row r="27" customFormat="false" ht="15" hidden="false" customHeight="false" outlineLevel="0" collapsed="false">
      <c r="A27" s="8"/>
      <c r="B27" s="9"/>
      <c r="C27" s="9"/>
      <c r="D27" s="9"/>
      <c r="E27" s="9"/>
      <c r="F27" s="9"/>
      <c r="G27" s="9"/>
      <c r="H27" s="10"/>
      <c r="I27" s="10" t="n">
        <f aca="false">IFERROR(G27*H27,0)</f>
        <v>0</v>
      </c>
      <c r="J27" s="9" t="n">
        <f aca="false">IFERROR(YEAR(A27),"")</f>
        <v>1899</v>
      </c>
      <c r="K27" s="9" t="n">
        <f aca="false">IFERROR(MONTH(A27),"")</f>
        <v>12</v>
      </c>
    </row>
    <row r="28" customFormat="false" ht="15" hidden="false" customHeight="false" outlineLevel="0" collapsed="false">
      <c r="A28" s="8"/>
      <c r="B28" s="9"/>
      <c r="C28" s="9"/>
      <c r="D28" s="9"/>
      <c r="E28" s="9"/>
      <c r="F28" s="9"/>
      <c r="G28" s="9"/>
      <c r="H28" s="10"/>
      <c r="I28" s="10" t="n">
        <f aca="false">IFERROR(G28*H28,0)</f>
        <v>0</v>
      </c>
      <c r="J28" s="9" t="n">
        <f aca="false">IFERROR(YEAR(A28),"")</f>
        <v>1899</v>
      </c>
      <c r="K28" s="9" t="n">
        <f aca="false">IFERROR(MONTH(A28),"")</f>
        <v>12</v>
      </c>
    </row>
    <row r="29" customFormat="false" ht="15" hidden="false" customHeight="false" outlineLevel="0" collapsed="false">
      <c r="A29" s="8"/>
      <c r="B29" s="9"/>
      <c r="C29" s="9"/>
      <c r="D29" s="9"/>
      <c r="E29" s="9"/>
      <c r="F29" s="9"/>
      <c r="G29" s="9"/>
      <c r="H29" s="10"/>
      <c r="I29" s="10" t="n">
        <f aca="false">IFERROR(G29*H29,0)</f>
        <v>0</v>
      </c>
      <c r="J29" s="9" t="n">
        <f aca="false">IFERROR(YEAR(A29),"")</f>
        <v>1899</v>
      </c>
      <c r="K29" s="9" t="n">
        <f aca="false">IFERROR(MONTH(A29),"")</f>
        <v>12</v>
      </c>
    </row>
    <row r="30" customFormat="false" ht="15" hidden="false" customHeight="false" outlineLevel="0" collapsed="false">
      <c r="A30" s="8"/>
      <c r="B30" s="9"/>
      <c r="C30" s="9"/>
      <c r="D30" s="9"/>
      <c r="E30" s="9"/>
      <c r="F30" s="9"/>
      <c r="G30" s="9"/>
      <c r="H30" s="10"/>
      <c r="I30" s="10" t="n">
        <f aca="false">IFERROR(G30*H30,0)</f>
        <v>0</v>
      </c>
      <c r="J30" s="9" t="n">
        <f aca="false">IFERROR(YEAR(A30),"")</f>
        <v>1899</v>
      </c>
      <c r="K30" s="9" t="n">
        <f aca="false">IFERROR(MONTH(A30),"")</f>
        <v>12</v>
      </c>
    </row>
    <row r="31" customFormat="false" ht="15" hidden="false" customHeight="false" outlineLevel="0" collapsed="false">
      <c r="A31" s="8"/>
      <c r="B31" s="9"/>
      <c r="C31" s="9"/>
      <c r="D31" s="9"/>
      <c r="E31" s="9"/>
      <c r="F31" s="9"/>
      <c r="G31" s="9"/>
      <c r="H31" s="10"/>
      <c r="I31" s="10" t="n">
        <f aca="false">IFERROR(G31*H31,0)</f>
        <v>0</v>
      </c>
      <c r="J31" s="9" t="n">
        <f aca="false">IFERROR(YEAR(A31),"")</f>
        <v>1899</v>
      </c>
      <c r="K31" s="9" t="n">
        <f aca="false">IFERROR(MONTH(A31),"")</f>
        <v>12</v>
      </c>
    </row>
    <row r="32" customFormat="false" ht="15" hidden="false" customHeight="false" outlineLevel="0" collapsed="false">
      <c r="A32" s="8"/>
      <c r="B32" s="9"/>
      <c r="C32" s="9"/>
      <c r="D32" s="9"/>
      <c r="E32" s="9"/>
      <c r="F32" s="9"/>
      <c r="G32" s="9"/>
      <c r="H32" s="10"/>
      <c r="I32" s="10" t="n">
        <f aca="false">IFERROR(G32*H32,0)</f>
        <v>0</v>
      </c>
      <c r="J32" s="9" t="n">
        <f aca="false">IFERROR(YEAR(A32),"")</f>
        <v>1899</v>
      </c>
      <c r="K32" s="9" t="n">
        <f aca="false">IFERROR(MONTH(A32),"")</f>
        <v>12</v>
      </c>
    </row>
    <row r="33" customFormat="false" ht="15" hidden="false" customHeight="false" outlineLevel="0" collapsed="false">
      <c r="A33" s="8"/>
      <c r="B33" s="9"/>
      <c r="C33" s="9"/>
      <c r="D33" s="9"/>
      <c r="E33" s="9"/>
      <c r="F33" s="9"/>
      <c r="G33" s="9"/>
      <c r="H33" s="10"/>
      <c r="I33" s="10" t="n">
        <f aca="false">IFERROR(G33*H33,0)</f>
        <v>0</v>
      </c>
      <c r="J33" s="9" t="n">
        <f aca="false">IFERROR(YEAR(A33),"")</f>
        <v>1899</v>
      </c>
      <c r="K33" s="9" t="n">
        <f aca="false">IFERROR(MONTH(A33),"")</f>
        <v>12</v>
      </c>
    </row>
    <row r="34" customFormat="false" ht="15" hidden="false" customHeight="false" outlineLevel="0" collapsed="false">
      <c r="A34" s="8"/>
      <c r="B34" s="9"/>
      <c r="C34" s="9"/>
      <c r="D34" s="9"/>
      <c r="E34" s="9"/>
      <c r="F34" s="9"/>
      <c r="G34" s="9"/>
      <c r="H34" s="10"/>
      <c r="I34" s="10" t="n">
        <f aca="false">IFERROR(G34*H34,0)</f>
        <v>0</v>
      </c>
      <c r="J34" s="9" t="n">
        <f aca="false">IFERROR(YEAR(A34),"")</f>
        <v>1899</v>
      </c>
      <c r="K34" s="9" t="n">
        <f aca="false">IFERROR(MONTH(A34),"")</f>
        <v>12</v>
      </c>
    </row>
    <row r="35" customFormat="false" ht="15" hidden="false" customHeight="false" outlineLevel="0" collapsed="false">
      <c r="A35" s="8"/>
      <c r="B35" s="9"/>
      <c r="C35" s="9"/>
      <c r="D35" s="9"/>
      <c r="E35" s="9"/>
      <c r="F35" s="9"/>
      <c r="G35" s="9"/>
      <c r="H35" s="10"/>
      <c r="I35" s="10" t="n">
        <f aca="false">IFERROR(G35*H35,0)</f>
        <v>0</v>
      </c>
      <c r="J35" s="9" t="n">
        <f aca="false">IFERROR(YEAR(A35),"")</f>
        <v>1899</v>
      </c>
      <c r="K35" s="9" t="n">
        <f aca="false">IFERROR(MONTH(A35),"")</f>
        <v>12</v>
      </c>
    </row>
    <row r="36" customFormat="false" ht="15" hidden="false" customHeight="false" outlineLevel="0" collapsed="false">
      <c r="A36" s="8"/>
      <c r="B36" s="9"/>
      <c r="C36" s="9"/>
      <c r="D36" s="9"/>
      <c r="E36" s="9"/>
      <c r="F36" s="9"/>
      <c r="G36" s="9"/>
      <c r="H36" s="10"/>
      <c r="I36" s="10" t="n">
        <f aca="false">IFERROR(G36*H36,0)</f>
        <v>0</v>
      </c>
      <c r="J36" s="9" t="n">
        <f aca="false">IFERROR(YEAR(A36),"")</f>
        <v>1899</v>
      </c>
      <c r="K36" s="9" t="n">
        <f aca="false">IFERROR(MONTH(A36),"")</f>
        <v>12</v>
      </c>
    </row>
    <row r="37" customFormat="false" ht="15" hidden="false" customHeight="false" outlineLevel="0" collapsed="false">
      <c r="A37" s="8"/>
      <c r="B37" s="9"/>
      <c r="C37" s="9"/>
      <c r="D37" s="9"/>
      <c r="E37" s="9"/>
      <c r="F37" s="9"/>
      <c r="G37" s="9"/>
      <c r="H37" s="10"/>
      <c r="I37" s="10" t="n">
        <f aca="false">IFERROR(G37*H37,0)</f>
        <v>0</v>
      </c>
      <c r="J37" s="9" t="n">
        <f aca="false">IFERROR(YEAR(A37),"")</f>
        <v>1899</v>
      </c>
      <c r="K37" s="9" t="n">
        <f aca="false">IFERROR(MONTH(A37),"")</f>
        <v>12</v>
      </c>
    </row>
    <row r="38" customFormat="false" ht="15" hidden="false" customHeight="false" outlineLevel="0" collapsed="false">
      <c r="A38" s="8"/>
      <c r="B38" s="9"/>
      <c r="C38" s="9"/>
      <c r="D38" s="9"/>
      <c r="E38" s="9"/>
      <c r="F38" s="9"/>
      <c r="G38" s="9"/>
      <c r="H38" s="10"/>
      <c r="I38" s="10" t="n">
        <f aca="false">IFERROR(G38*H38,0)</f>
        <v>0</v>
      </c>
      <c r="J38" s="9" t="n">
        <f aca="false">IFERROR(YEAR(A38),"")</f>
        <v>1899</v>
      </c>
      <c r="K38" s="9" t="n">
        <f aca="false">IFERROR(MONTH(A38),"")</f>
        <v>12</v>
      </c>
    </row>
    <row r="39" customFormat="false" ht="15" hidden="false" customHeight="false" outlineLevel="0" collapsed="false">
      <c r="A39" s="8"/>
      <c r="B39" s="9"/>
      <c r="C39" s="9"/>
      <c r="D39" s="9"/>
      <c r="E39" s="9"/>
      <c r="F39" s="9"/>
      <c r="G39" s="9"/>
      <c r="H39" s="10"/>
      <c r="I39" s="10" t="n">
        <f aca="false">IFERROR(G39*H39,0)</f>
        <v>0</v>
      </c>
      <c r="J39" s="9" t="n">
        <f aca="false">IFERROR(YEAR(A39),"")</f>
        <v>1899</v>
      </c>
      <c r="K39" s="9" t="n">
        <f aca="false">IFERROR(MONTH(A39),"")</f>
        <v>12</v>
      </c>
    </row>
    <row r="40" customFormat="false" ht="15" hidden="false" customHeight="false" outlineLevel="0" collapsed="false">
      <c r="A40" s="8"/>
      <c r="B40" s="9"/>
      <c r="C40" s="9"/>
      <c r="D40" s="9"/>
      <c r="E40" s="9"/>
      <c r="F40" s="9"/>
      <c r="G40" s="9"/>
      <c r="H40" s="10"/>
      <c r="I40" s="10" t="n">
        <f aca="false">IFERROR(G40*H40,0)</f>
        <v>0</v>
      </c>
      <c r="J40" s="9" t="n">
        <f aca="false">IFERROR(YEAR(A40),"")</f>
        <v>1899</v>
      </c>
      <c r="K40" s="9" t="n">
        <f aca="false">IFERROR(MONTH(A40),"")</f>
        <v>12</v>
      </c>
    </row>
    <row r="41" customFormat="false" ht="15" hidden="false" customHeight="false" outlineLevel="0" collapsed="false">
      <c r="A41" s="8"/>
      <c r="B41" s="9"/>
      <c r="C41" s="9"/>
      <c r="D41" s="9"/>
      <c r="E41" s="9"/>
      <c r="F41" s="9"/>
      <c r="G41" s="9"/>
      <c r="H41" s="10"/>
      <c r="I41" s="10" t="n">
        <f aca="false">IFERROR(G41*H41,0)</f>
        <v>0</v>
      </c>
      <c r="J41" s="9" t="n">
        <f aca="false">IFERROR(YEAR(A41),"")</f>
        <v>1899</v>
      </c>
      <c r="K41" s="9" t="n">
        <f aca="false">IFERROR(MONTH(A41),"")</f>
        <v>12</v>
      </c>
    </row>
    <row r="42" customFormat="false" ht="15" hidden="false" customHeight="false" outlineLevel="0" collapsed="false">
      <c r="A42" s="8"/>
      <c r="B42" s="9"/>
      <c r="C42" s="9"/>
      <c r="D42" s="9"/>
      <c r="E42" s="9"/>
      <c r="F42" s="9"/>
      <c r="G42" s="9"/>
      <c r="H42" s="10"/>
      <c r="I42" s="10" t="n">
        <f aca="false">IFERROR(G42*H42,0)</f>
        <v>0</v>
      </c>
      <c r="J42" s="9" t="n">
        <f aca="false">IFERROR(YEAR(A42),"")</f>
        <v>1899</v>
      </c>
      <c r="K42" s="9" t="n">
        <f aca="false">IFERROR(MONTH(A42),"")</f>
        <v>12</v>
      </c>
    </row>
    <row r="43" customFormat="false" ht="15" hidden="false" customHeight="false" outlineLevel="0" collapsed="false">
      <c r="A43" s="8"/>
      <c r="B43" s="9"/>
      <c r="C43" s="9"/>
      <c r="D43" s="9"/>
      <c r="E43" s="9"/>
      <c r="F43" s="9"/>
      <c r="G43" s="9"/>
      <c r="H43" s="10"/>
      <c r="I43" s="10" t="n">
        <f aca="false">IFERROR(G43*H43,0)</f>
        <v>0</v>
      </c>
      <c r="J43" s="9" t="n">
        <f aca="false">IFERROR(YEAR(A43),"")</f>
        <v>1899</v>
      </c>
      <c r="K43" s="9" t="n">
        <f aca="false">IFERROR(MONTH(A43),"")</f>
        <v>12</v>
      </c>
    </row>
    <row r="44" customFormat="false" ht="15" hidden="false" customHeight="false" outlineLevel="0" collapsed="false">
      <c r="A44" s="8"/>
      <c r="B44" s="9"/>
      <c r="C44" s="9"/>
      <c r="D44" s="9"/>
      <c r="E44" s="9"/>
      <c r="F44" s="9"/>
      <c r="G44" s="9"/>
      <c r="H44" s="10"/>
      <c r="I44" s="10" t="n">
        <f aca="false">IFERROR(G44*H44,0)</f>
        <v>0</v>
      </c>
      <c r="J44" s="9" t="n">
        <f aca="false">IFERROR(YEAR(A44),"")</f>
        <v>1899</v>
      </c>
      <c r="K44" s="9" t="n">
        <f aca="false">IFERROR(MONTH(A44),"")</f>
        <v>12</v>
      </c>
    </row>
    <row r="45" customFormat="false" ht="15" hidden="false" customHeight="false" outlineLevel="0" collapsed="false">
      <c r="A45" s="8"/>
      <c r="B45" s="9"/>
      <c r="C45" s="9"/>
      <c r="D45" s="9"/>
      <c r="E45" s="9"/>
      <c r="F45" s="9"/>
      <c r="G45" s="9"/>
      <c r="H45" s="10"/>
      <c r="I45" s="10" t="n">
        <f aca="false">IFERROR(G45*H45,0)</f>
        <v>0</v>
      </c>
      <c r="J45" s="9" t="n">
        <f aca="false">IFERROR(YEAR(A45),"")</f>
        <v>1899</v>
      </c>
      <c r="K45" s="9" t="n">
        <f aca="false">IFERROR(MONTH(A45),"")</f>
        <v>12</v>
      </c>
    </row>
    <row r="46" customFormat="false" ht="15" hidden="false" customHeight="false" outlineLevel="0" collapsed="false">
      <c r="A46" s="8"/>
      <c r="B46" s="9"/>
      <c r="C46" s="9"/>
      <c r="D46" s="9"/>
      <c r="E46" s="9"/>
      <c r="F46" s="9"/>
      <c r="G46" s="9"/>
      <c r="H46" s="10"/>
      <c r="I46" s="10" t="n">
        <f aca="false">IFERROR(G46*H46,0)</f>
        <v>0</v>
      </c>
      <c r="J46" s="9" t="n">
        <f aca="false">IFERROR(YEAR(A46),"")</f>
        <v>1899</v>
      </c>
      <c r="K46" s="9" t="n">
        <f aca="false">IFERROR(MONTH(A46),"")</f>
        <v>12</v>
      </c>
    </row>
    <row r="47" customFormat="false" ht="15" hidden="false" customHeight="false" outlineLevel="0" collapsed="false">
      <c r="A47" s="8"/>
      <c r="B47" s="9"/>
      <c r="C47" s="9"/>
      <c r="D47" s="9"/>
      <c r="E47" s="9"/>
      <c r="F47" s="9"/>
      <c r="G47" s="9"/>
      <c r="H47" s="10"/>
      <c r="I47" s="10" t="n">
        <f aca="false">IFERROR(G47*H47,0)</f>
        <v>0</v>
      </c>
      <c r="J47" s="9" t="n">
        <f aca="false">IFERROR(YEAR(A47),"")</f>
        <v>1899</v>
      </c>
      <c r="K47" s="9" t="n">
        <f aca="false">IFERROR(MONTH(A47),"")</f>
        <v>12</v>
      </c>
    </row>
    <row r="48" customFormat="false" ht="15" hidden="false" customHeight="false" outlineLevel="0" collapsed="false">
      <c r="A48" s="8"/>
      <c r="B48" s="9"/>
      <c r="C48" s="9"/>
      <c r="D48" s="9"/>
      <c r="E48" s="9"/>
      <c r="F48" s="9"/>
      <c r="G48" s="9"/>
      <c r="H48" s="10"/>
      <c r="I48" s="10" t="n">
        <f aca="false">IFERROR(G48*H48,0)</f>
        <v>0</v>
      </c>
      <c r="J48" s="9" t="n">
        <f aca="false">IFERROR(YEAR(A48),"")</f>
        <v>1899</v>
      </c>
      <c r="K48" s="9" t="n">
        <f aca="false">IFERROR(MONTH(A48),"")</f>
        <v>12</v>
      </c>
    </row>
    <row r="49" customFormat="false" ht="15" hidden="false" customHeight="false" outlineLevel="0" collapsed="false">
      <c r="A49" s="8"/>
      <c r="B49" s="9"/>
      <c r="C49" s="9"/>
      <c r="D49" s="9"/>
      <c r="E49" s="9"/>
      <c r="F49" s="9"/>
      <c r="G49" s="9"/>
      <c r="H49" s="10"/>
      <c r="I49" s="10" t="n">
        <f aca="false">IFERROR(G49*H49,0)</f>
        <v>0</v>
      </c>
      <c r="J49" s="9" t="n">
        <f aca="false">IFERROR(YEAR(A49),"")</f>
        <v>1899</v>
      </c>
      <c r="K49" s="9" t="n">
        <f aca="false">IFERROR(MONTH(A49),"")</f>
        <v>12</v>
      </c>
    </row>
    <row r="50" customFormat="false" ht="15" hidden="false" customHeight="false" outlineLevel="0" collapsed="false">
      <c r="A50" s="8"/>
      <c r="B50" s="9"/>
      <c r="C50" s="9"/>
      <c r="D50" s="9"/>
      <c r="E50" s="9"/>
      <c r="F50" s="9"/>
      <c r="G50" s="9"/>
      <c r="H50" s="10"/>
      <c r="I50" s="10" t="n">
        <f aca="false">IFERROR(G50*H50,0)</f>
        <v>0</v>
      </c>
      <c r="J50" s="9" t="n">
        <f aca="false">IFERROR(YEAR(A50),"")</f>
        <v>1899</v>
      </c>
      <c r="K50" s="9" t="n">
        <f aca="false">IFERROR(MONTH(A50),"")</f>
        <v>12</v>
      </c>
    </row>
    <row r="51" customFormat="false" ht="15" hidden="false" customHeight="false" outlineLevel="0" collapsed="false">
      <c r="A51" s="8"/>
      <c r="B51" s="9"/>
      <c r="C51" s="9"/>
      <c r="D51" s="9"/>
      <c r="E51" s="9"/>
      <c r="F51" s="9"/>
      <c r="G51" s="9"/>
      <c r="H51" s="10"/>
      <c r="I51" s="10" t="n">
        <f aca="false">IFERROR(G51*H51,0)</f>
        <v>0</v>
      </c>
      <c r="J51" s="9" t="n">
        <f aca="false">IFERROR(YEAR(A51),"")</f>
        <v>1899</v>
      </c>
      <c r="K51" s="9" t="n">
        <f aca="false">IFERROR(MONTH(A51),"")</f>
        <v>12</v>
      </c>
    </row>
    <row r="52" customFormat="false" ht="15" hidden="false" customHeight="false" outlineLevel="0" collapsed="false">
      <c r="A52" s="8"/>
      <c r="B52" s="9"/>
      <c r="C52" s="9"/>
      <c r="D52" s="9"/>
      <c r="E52" s="9"/>
      <c r="F52" s="9"/>
      <c r="G52" s="9"/>
      <c r="H52" s="10"/>
      <c r="I52" s="10" t="n">
        <f aca="false">IFERROR(G52*H52,0)</f>
        <v>0</v>
      </c>
      <c r="J52" s="9" t="n">
        <f aca="false">IFERROR(YEAR(A52),"")</f>
        <v>1899</v>
      </c>
      <c r="K52" s="9" t="n">
        <f aca="false">IFERROR(MONTH(A52),"")</f>
        <v>12</v>
      </c>
    </row>
    <row r="53" customFormat="false" ht="15" hidden="false" customHeight="false" outlineLevel="0" collapsed="false">
      <c r="A53" s="8"/>
      <c r="B53" s="9"/>
      <c r="C53" s="9"/>
      <c r="D53" s="9"/>
      <c r="E53" s="9"/>
      <c r="F53" s="9"/>
      <c r="G53" s="9"/>
      <c r="H53" s="10"/>
      <c r="I53" s="10" t="n">
        <f aca="false">IFERROR(G53*H53,0)</f>
        <v>0</v>
      </c>
      <c r="J53" s="9" t="n">
        <f aca="false">IFERROR(YEAR(A53),"")</f>
        <v>1899</v>
      </c>
      <c r="K53" s="9" t="n">
        <f aca="false">IFERROR(MONTH(A53),"")</f>
        <v>12</v>
      </c>
    </row>
    <row r="54" customFormat="false" ht="15" hidden="false" customHeight="false" outlineLevel="0" collapsed="false">
      <c r="A54" s="8"/>
      <c r="B54" s="9"/>
      <c r="C54" s="9"/>
      <c r="D54" s="9"/>
      <c r="E54" s="9"/>
      <c r="F54" s="9"/>
      <c r="G54" s="9"/>
      <c r="H54" s="10"/>
      <c r="I54" s="10" t="n">
        <f aca="false">IFERROR(G54*H54,0)</f>
        <v>0</v>
      </c>
      <c r="J54" s="9" t="n">
        <f aca="false">IFERROR(YEAR(A54),"")</f>
        <v>1899</v>
      </c>
      <c r="K54" s="9" t="n">
        <f aca="false">IFERROR(MONTH(A54),"")</f>
        <v>12</v>
      </c>
    </row>
    <row r="55" customFormat="false" ht="15" hidden="false" customHeight="false" outlineLevel="0" collapsed="false">
      <c r="A55" s="8"/>
      <c r="B55" s="9"/>
      <c r="C55" s="9"/>
      <c r="D55" s="9"/>
      <c r="E55" s="9"/>
      <c r="F55" s="9"/>
      <c r="G55" s="9"/>
      <c r="H55" s="10"/>
      <c r="I55" s="10" t="n">
        <f aca="false">IFERROR(G55*H55,0)</f>
        <v>0</v>
      </c>
      <c r="J55" s="9" t="n">
        <f aca="false">IFERROR(YEAR(A55),"")</f>
        <v>1899</v>
      </c>
      <c r="K55" s="9" t="n">
        <f aca="false">IFERROR(MONTH(A55),"")</f>
        <v>12</v>
      </c>
    </row>
    <row r="56" customFormat="false" ht="15" hidden="false" customHeight="false" outlineLevel="0" collapsed="false">
      <c r="A56" s="8"/>
      <c r="B56" s="9"/>
      <c r="C56" s="9"/>
      <c r="D56" s="9"/>
      <c r="E56" s="9"/>
      <c r="F56" s="9"/>
      <c r="G56" s="9"/>
      <c r="H56" s="10"/>
      <c r="I56" s="10" t="n">
        <f aca="false">IFERROR(G56*H56,0)</f>
        <v>0</v>
      </c>
      <c r="J56" s="9" t="n">
        <f aca="false">IFERROR(YEAR(A56),"")</f>
        <v>1899</v>
      </c>
      <c r="K56" s="9" t="n">
        <f aca="false">IFERROR(MONTH(A56),"")</f>
        <v>12</v>
      </c>
    </row>
    <row r="57" customFormat="false" ht="15" hidden="false" customHeight="false" outlineLevel="0" collapsed="false">
      <c r="A57" s="8"/>
      <c r="B57" s="9"/>
      <c r="C57" s="9"/>
      <c r="D57" s="9"/>
      <c r="E57" s="9"/>
      <c r="F57" s="9"/>
      <c r="G57" s="9"/>
      <c r="H57" s="10"/>
      <c r="I57" s="10" t="n">
        <f aca="false">IFERROR(G57*H57,0)</f>
        <v>0</v>
      </c>
      <c r="J57" s="9" t="n">
        <f aca="false">IFERROR(YEAR(A57),"")</f>
        <v>1899</v>
      </c>
      <c r="K57" s="9" t="n">
        <f aca="false">IFERROR(MONTH(A57),"")</f>
        <v>12</v>
      </c>
    </row>
    <row r="58" customFormat="false" ht="15" hidden="false" customHeight="false" outlineLevel="0" collapsed="false">
      <c r="A58" s="8"/>
      <c r="B58" s="9"/>
      <c r="C58" s="9"/>
      <c r="D58" s="9"/>
      <c r="E58" s="9"/>
      <c r="F58" s="9"/>
      <c r="G58" s="9"/>
      <c r="H58" s="10"/>
      <c r="I58" s="10" t="n">
        <f aca="false">IFERROR(G58*H58,0)</f>
        <v>0</v>
      </c>
      <c r="J58" s="9" t="n">
        <f aca="false">IFERROR(YEAR(A58),"")</f>
        <v>1899</v>
      </c>
      <c r="K58" s="9" t="n">
        <f aca="false">IFERROR(MONTH(A58),"")</f>
        <v>12</v>
      </c>
    </row>
    <row r="59" customFormat="false" ht="15" hidden="false" customHeight="false" outlineLevel="0" collapsed="false">
      <c r="A59" s="8"/>
      <c r="B59" s="9"/>
      <c r="C59" s="9"/>
      <c r="D59" s="9"/>
      <c r="E59" s="9"/>
      <c r="F59" s="9"/>
      <c r="G59" s="9"/>
      <c r="H59" s="10"/>
      <c r="I59" s="10" t="n">
        <f aca="false">IFERROR(G59*H59,0)</f>
        <v>0</v>
      </c>
      <c r="J59" s="9" t="n">
        <f aca="false">IFERROR(YEAR(A59),"")</f>
        <v>1899</v>
      </c>
      <c r="K59" s="9" t="n">
        <f aca="false">IFERROR(MONTH(A59),"")</f>
        <v>12</v>
      </c>
    </row>
    <row r="60" customFormat="false" ht="15" hidden="false" customHeight="false" outlineLevel="0" collapsed="false">
      <c r="A60" s="8"/>
      <c r="B60" s="9"/>
      <c r="C60" s="9"/>
      <c r="D60" s="9"/>
      <c r="E60" s="9"/>
      <c r="F60" s="9"/>
      <c r="G60" s="9"/>
      <c r="H60" s="10"/>
      <c r="I60" s="10" t="n">
        <f aca="false">IFERROR(G60*H60,0)</f>
        <v>0</v>
      </c>
      <c r="J60" s="9" t="n">
        <f aca="false">IFERROR(YEAR(A60),"")</f>
        <v>1899</v>
      </c>
      <c r="K60" s="9" t="n">
        <f aca="false">IFERROR(MONTH(A60),"")</f>
        <v>12</v>
      </c>
    </row>
    <row r="61" customFormat="false" ht="15" hidden="false" customHeight="false" outlineLevel="0" collapsed="false">
      <c r="A61" s="8"/>
      <c r="B61" s="9"/>
      <c r="C61" s="9"/>
      <c r="D61" s="9"/>
      <c r="E61" s="9"/>
      <c r="F61" s="9"/>
      <c r="G61" s="9"/>
      <c r="H61" s="10"/>
      <c r="I61" s="10" t="n">
        <f aca="false">IFERROR(G61*H61,0)</f>
        <v>0</v>
      </c>
      <c r="J61" s="9" t="n">
        <f aca="false">IFERROR(YEAR(A61),"")</f>
        <v>1899</v>
      </c>
      <c r="K61" s="9" t="n">
        <f aca="false">IFERROR(MONTH(A61),"")</f>
        <v>12</v>
      </c>
    </row>
    <row r="62" customFormat="false" ht="15" hidden="false" customHeight="false" outlineLevel="0" collapsed="false">
      <c r="A62" s="8"/>
      <c r="B62" s="9"/>
      <c r="C62" s="9"/>
      <c r="D62" s="9"/>
      <c r="E62" s="9"/>
      <c r="F62" s="9"/>
      <c r="G62" s="9"/>
      <c r="H62" s="10"/>
      <c r="I62" s="10" t="n">
        <f aca="false">IFERROR(G62*H62,0)</f>
        <v>0</v>
      </c>
      <c r="J62" s="9" t="n">
        <f aca="false">IFERROR(YEAR(A62),"")</f>
        <v>1899</v>
      </c>
      <c r="K62" s="9" t="n">
        <f aca="false">IFERROR(MONTH(A62),"")</f>
        <v>12</v>
      </c>
    </row>
    <row r="63" customFormat="false" ht="15" hidden="false" customHeight="false" outlineLevel="0" collapsed="false">
      <c r="A63" s="8"/>
      <c r="B63" s="9"/>
      <c r="C63" s="9"/>
      <c r="D63" s="9"/>
      <c r="E63" s="9"/>
      <c r="F63" s="9"/>
      <c r="G63" s="9"/>
      <c r="H63" s="10"/>
      <c r="I63" s="10" t="n">
        <f aca="false">IFERROR(G63*H63,0)</f>
        <v>0</v>
      </c>
      <c r="J63" s="9" t="n">
        <f aca="false">IFERROR(YEAR(A63),"")</f>
        <v>1899</v>
      </c>
      <c r="K63" s="9" t="n">
        <f aca="false">IFERROR(MONTH(A63),"")</f>
        <v>12</v>
      </c>
    </row>
    <row r="64" customFormat="false" ht="15" hidden="false" customHeight="false" outlineLevel="0" collapsed="false">
      <c r="A64" s="8"/>
      <c r="B64" s="9"/>
      <c r="C64" s="9"/>
      <c r="D64" s="9"/>
      <c r="E64" s="9"/>
      <c r="F64" s="9"/>
      <c r="G64" s="9"/>
      <c r="H64" s="10"/>
      <c r="I64" s="10" t="n">
        <f aca="false">IFERROR(G64*H64,0)</f>
        <v>0</v>
      </c>
      <c r="J64" s="9" t="n">
        <f aca="false">IFERROR(YEAR(A64),"")</f>
        <v>1899</v>
      </c>
      <c r="K64" s="9" t="n">
        <f aca="false">IFERROR(MONTH(A64),"")</f>
        <v>12</v>
      </c>
    </row>
    <row r="65" customFormat="false" ht="15" hidden="false" customHeight="false" outlineLevel="0" collapsed="false">
      <c r="A65" s="8"/>
      <c r="B65" s="9"/>
      <c r="C65" s="9"/>
      <c r="D65" s="9"/>
      <c r="E65" s="9"/>
      <c r="F65" s="9"/>
      <c r="G65" s="9"/>
      <c r="H65" s="10"/>
      <c r="I65" s="10" t="n">
        <f aca="false">IFERROR(G65*H65,0)</f>
        <v>0</v>
      </c>
      <c r="J65" s="9" t="n">
        <f aca="false">IFERROR(YEAR(A65),"")</f>
        <v>1899</v>
      </c>
      <c r="K65" s="9" t="n">
        <f aca="false">IFERROR(MONTH(A65),"")</f>
        <v>12</v>
      </c>
    </row>
    <row r="66" customFormat="false" ht="15" hidden="false" customHeight="false" outlineLevel="0" collapsed="false">
      <c r="A66" s="8"/>
      <c r="B66" s="9"/>
      <c r="C66" s="9"/>
      <c r="D66" s="9"/>
      <c r="E66" s="9"/>
      <c r="F66" s="9"/>
      <c r="G66" s="9"/>
      <c r="H66" s="10"/>
      <c r="I66" s="10" t="n">
        <f aca="false">IFERROR(G66*H66,0)</f>
        <v>0</v>
      </c>
      <c r="J66" s="9" t="n">
        <f aca="false">IFERROR(YEAR(A66),"")</f>
        <v>1899</v>
      </c>
      <c r="K66" s="9" t="n">
        <f aca="false">IFERROR(MONTH(A66),"")</f>
        <v>12</v>
      </c>
    </row>
    <row r="67" customFormat="false" ht="15" hidden="false" customHeight="false" outlineLevel="0" collapsed="false">
      <c r="A67" s="8"/>
      <c r="B67" s="9"/>
      <c r="C67" s="9"/>
      <c r="D67" s="9"/>
      <c r="E67" s="9"/>
      <c r="F67" s="9"/>
      <c r="G67" s="9"/>
      <c r="H67" s="10"/>
      <c r="I67" s="10" t="n">
        <f aca="false">IFERROR(G67*H67,0)</f>
        <v>0</v>
      </c>
      <c r="J67" s="9" t="n">
        <f aca="false">IFERROR(YEAR(A67),"")</f>
        <v>1899</v>
      </c>
      <c r="K67" s="9" t="n">
        <f aca="false">IFERROR(MONTH(A67),"")</f>
        <v>12</v>
      </c>
    </row>
    <row r="68" customFormat="false" ht="15" hidden="false" customHeight="false" outlineLevel="0" collapsed="false">
      <c r="A68" s="8"/>
      <c r="B68" s="9"/>
      <c r="C68" s="9"/>
      <c r="D68" s="9"/>
      <c r="E68" s="9"/>
      <c r="F68" s="9"/>
      <c r="G68" s="9"/>
      <c r="H68" s="10"/>
      <c r="I68" s="10" t="n">
        <f aca="false">IFERROR(G68*H68,0)</f>
        <v>0</v>
      </c>
      <c r="J68" s="9" t="n">
        <f aca="false">IFERROR(YEAR(A68),"")</f>
        <v>1899</v>
      </c>
      <c r="K68" s="9" t="n">
        <f aca="false">IFERROR(MONTH(A68),"")</f>
        <v>12</v>
      </c>
    </row>
    <row r="69" customFormat="false" ht="15" hidden="false" customHeight="false" outlineLevel="0" collapsed="false">
      <c r="A69" s="8"/>
      <c r="B69" s="9"/>
      <c r="C69" s="9"/>
      <c r="D69" s="9"/>
      <c r="E69" s="9"/>
      <c r="F69" s="9"/>
      <c r="G69" s="9"/>
      <c r="H69" s="10"/>
      <c r="I69" s="10" t="n">
        <f aca="false">IFERROR(G69*H69,0)</f>
        <v>0</v>
      </c>
      <c r="J69" s="9" t="n">
        <f aca="false">IFERROR(YEAR(A69),"")</f>
        <v>1899</v>
      </c>
      <c r="K69" s="9" t="n">
        <f aca="false">IFERROR(MONTH(A69),"")</f>
        <v>12</v>
      </c>
    </row>
    <row r="70" customFormat="false" ht="15" hidden="false" customHeight="false" outlineLevel="0" collapsed="false">
      <c r="A70" s="8"/>
      <c r="B70" s="9"/>
      <c r="C70" s="9"/>
      <c r="D70" s="9"/>
      <c r="E70" s="9"/>
      <c r="F70" s="9"/>
      <c r="G70" s="9"/>
      <c r="H70" s="10"/>
      <c r="I70" s="10" t="n">
        <f aca="false">IFERROR(G70*H70,0)</f>
        <v>0</v>
      </c>
      <c r="J70" s="9" t="n">
        <f aca="false">IFERROR(YEAR(A70),"")</f>
        <v>1899</v>
      </c>
      <c r="K70" s="9" t="n">
        <f aca="false">IFERROR(MONTH(A70),"")</f>
        <v>12</v>
      </c>
    </row>
    <row r="71" customFormat="false" ht="15" hidden="false" customHeight="false" outlineLevel="0" collapsed="false">
      <c r="A71" s="8"/>
      <c r="B71" s="9"/>
      <c r="C71" s="9"/>
      <c r="D71" s="9"/>
      <c r="E71" s="9"/>
      <c r="F71" s="9"/>
      <c r="G71" s="9"/>
      <c r="H71" s="10"/>
      <c r="I71" s="10" t="n">
        <f aca="false">IFERROR(G71*H71,0)</f>
        <v>0</v>
      </c>
      <c r="J71" s="9" t="n">
        <f aca="false">IFERROR(YEAR(A71),"")</f>
        <v>1899</v>
      </c>
      <c r="K71" s="9" t="n">
        <f aca="false">IFERROR(MONTH(A71),"")</f>
        <v>12</v>
      </c>
    </row>
    <row r="72" customFormat="false" ht="15" hidden="false" customHeight="false" outlineLevel="0" collapsed="false">
      <c r="A72" s="8"/>
      <c r="B72" s="9"/>
      <c r="C72" s="9"/>
      <c r="D72" s="9"/>
      <c r="E72" s="9"/>
      <c r="F72" s="9"/>
      <c r="G72" s="9"/>
      <c r="H72" s="10"/>
      <c r="I72" s="10" t="n">
        <f aca="false">IFERROR(G72*H72,0)</f>
        <v>0</v>
      </c>
      <c r="J72" s="9" t="n">
        <f aca="false">IFERROR(YEAR(A72),"")</f>
        <v>1899</v>
      </c>
      <c r="K72" s="9" t="n">
        <f aca="false">IFERROR(MONTH(A72),"")</f>
        <v>12</v>
      </c>
    </row>
    <row r="73" customFormat="false" ht="15" hidden="false" customHeight="false" outlineLevel="0" collapsed="false">
      <c r="A73" s="8"/>
      <c r="B73" s="9"/>
      <c r="C73" s="9"/>
      <c r="D73" s="9"/>
      <c r="E73" s="9"/>
      <c r="F73" s="9"/>
      <c r="G73" s="9"/>
      <c r="H73" s="10"/>
      <c r="I73" s="10" t="n">
        <f aca="false">IFERROR(G73*H73,0)</f>
        <v>0</v>
      </c>
      <c r="J73" s="9" t="n">
        <f aca="false">IFERROR(YEAR(A73),"")</f>
        <v>1899</v>
      </c>
      <c r="K73" s="9" t="n">
        <f aca="false">IFERROR(MONTH(A73),"")</f>
        <v>12</v>
      </c>
    </row>
    <row r="74" customFormat="false" ht="15" hidden="false" customHeight="false" outlineLevel="0" collapsed="false">
      <c r="A74" s="8"/>
      <c r="B74" s="9"/>
      <c r="C74" s="9"/>
      <c r="D74" s="9"/>
      <c r="E74" s="9"/>
      <c r="F74" s="9"/>
      <c r="G74" s="9"/>
      <c r="H74" s="10"/>
      <c r="I74" s="10" t="n">
        <f aca="false">IFERROR(G74*H74,0)</f>
        <v>0</v>
      </c>
      <c r="J74" s="9" t="n">
        <f aca="false">IFERROR(YEAR(A74),"")</f>
        <v>1899</v>
      </c>
      <c r="K74" s="9" t="n">
        <f aca="false">IFERROR(MONTH(A74),"")</f>
        <v>12</v>
      </c>
    </row>
    <row r="75" customFormat="false" ht="15" hidden="false" customHeight="false" outlineLevel="0" collapsed="false">
      <c r="A75" s="8"/>
      <c r="B75" s="9"/>
      <c r="C75" s="9"/>
      <c r="D75" s="9"/>
      <c r="E75" s="9"/>
      <c r="F75" s="9"/>
      <c r="G75" s="9"/>
      <c r="H75" s="10"/>
      <c r="I75" s="10" t="n">
        <f aca="false">IFERROR(G75*H75,0)</f>
        <v>0</v>
      </c>
      <c r="J75" s="9" t="n">
        <f aca="false">IFERROR(YEAR(A75),"")</f>
        <v>1899</v>
      </c>
      <c r="K75" s="9" t="n">
        <f aca="false">IFERROR(MONTH(A75),"")</f>
        <v>12</v>
      </c>
    </row>
    <row r="76" customFormat="false" ht="15" hidden="false" customHeight="false" outlineLevel="0" collapsed="false">
      <c r="A76" s="8"/>
      <c r="B76" s="9"/>
      <c r="C76" s="9"/>
      <c r="D76" s="9"/>
      <c r="E76" s="9"/>
      <c r="F76" s="9"/>
      <c r="G76" s="9"/>
      <c r="H76" s="10"/>
      <c r="I76" s="10" t="n">
        <f aca="false">IFERROR(G76*H76,0)</f>
        <v>0</v>
      </c>
      <c r="J76" s="9" t="n">
        <f aca="false">IFERROR(YEAR(A76),"")</f>
        <v>1899</v>
      </c>
      <c r="K76" s="9" t="n">
        <f aca="false">IFERROR(MONTH(A76),"")</f>
        <v>12</v>
      </c>
    </row>
    <row r="77" customFormat="false" ht="15" hidden="false" customHeight="false" outlineLevel="0" collapsed="false">
      <c r="A77" s="8"/>
      <c r="B77" s="9"/>
      <c r="C77" s="9"/>
      <c r="D77" s="9"/>
      <c r="E77" s="9"/>
      <c r="F77" s="9"/>
      <c r="G77" s="9"/>
      <c r="H77" s="10"/>
      <c r="I77" s="10" t="n">
        <f aca="false">IFERROR(G77*H77,0)</f>
        <v>0</v>
      </c>
      <c r="J77" s="9" t="n">
        <f aca="false">IFERROR(YEAR(A77),"")</f>
        <v>1899</v>
      </c>
      <c r="K77" s="9" t="n">
        <f aca="false">IFERROR(MONTH(A77),"")</f>
        <v>12</v>
      </c>
    </row>
    <row r="78" customFormat="false" ht="15" hidden="false" customHeight="false" outlineLevel="0" collapsed="false">
      <c r="A78" s="8"/>
      <c r="B78" s="9"/>
      <c r="C78" s="9"/>
      <c r="D78" s="9"/>
      <c r="E78" s="9"/>
      <c r="F78" s="9"/>
      <c r="G78" s="9"/>
      <c r="H78" s="10"/>
      <c r="I78" s="10" t="n">
        <f aca="false">IFERROR(G78*H78,0)</f>
        <v>0</v>
      </c>
      <c r="J78" s="9" t="n">
        <f aca="false">IFERROR(YEAR(A78),"")</f>
        <v>1899</v>
      </c>
      <c r="K78" s="9" t="n">
        <f aca="false">IFERROR(MONTH(A78),"")</f>
        <v>12</v>
      </c>
    </row>
    <row r="79" customFormat="false" ht="15" hidden="false" customHeight="false" outlineLevel="0" collapsed="false">
      <c r="A79" s="8"/>
      <c r="B79" s="9"/>
      <c r="C79" s="9"/>
      <c r="D79" s="9"/>
      <c r="E79" s="9"/>
      <c r="F79" s="9"/>
      <c r="G79" s="9"/>
      <c r="H79" s="10"/>
      <c r="I79" s="10" t="n">
        <f aca="false">IFERROR(G79*H79,0)</f>
        <v>0</v>
      </c>
      <c r="J79" s="9" t="n">
        <f aca="false">IFERROR(YEAR(A79),"")</f>
        <v>1899</v>
      </c>
      <c r="K79" s="9" t="n">
        <f aca="false">IFERROR(MONTH(A79),"")</f>
        <v>12</v>
      </c>
    </row>
    <row r="80" customFormat="false" ht="15" hidden="false" customHeight="false" outlineLevel="0" collapsed="false">
      <c r="A80" s="8"/>
      <c r="B80" s="9"/>
      <c r="C80" s="9"/>
      <c r="D80" s="9"/>
      <c r="E80" s="9"/>
      <c r="F80" s="9"/>
      <c r="G80" s="9"/>
      <c r="H80" s="10"/>
      <c r="I80" s="10" t="n">
        <f aca="false">IFERROR(G80*H80,0)</f>
        <v>0</v>
      </c>
      <c r="J80" s="9" t="n">
        <f aca="false">IFERROR(YEAR(A80),"")</f>
        <v>1899</v>
      </c>
      <c r="K80" s="9" t="n">
        <f aca="false">IFERROR(MONTH(A80),"")</f>
        <v>12</v>
      </c>
    </row>
    <row r="81" customFormat="false" ht="15" hidden="false" customHeight="false" outlineLevel="0" collapsed="false">
      <c r="A81" s="8"/>
      <c r="B81" s="9"/>
      <c r="C81" s="9"/>
      <c r="D81" s="9"/>
      <c r="E81" s="9"/>
      <c r="F81" s="9"/>
      <c r="G81" s="9"/>
      <c r="H81" s="10"/>
      <c r="I81" s="10" t="n">
        <f aca="false">IFERROR(G81*H81,0)</f>
        <v>0</v>
      </c>
      <c r="J81" s="9" t="n">
        <f aca="false">IFERROR(YEAR(A81),"")</f>
        <v>1899</v>
      </c>
      <c r="K81" s="9" t="n">
        <f aca="false">IFERROR(MONTH(A81),"")</f>
        <v>12</v>
      </c>
    </row>
    <row r="82" customFormat="false" ht="15" hidden="false" customHeight="false" outlineLevel="0" collapsed="false">
      <c r="A82" s="8"/>
      <c r="B82" s="9"/>
      <c r="C82" s="9"/>
      <c r="D82" s="9"/>
      <c r="E82" s="9"/>
      <c r="F82" s="9"/>
      <c r="G82" s="9"/>
      <c r="H82" s="10"/>
      <c r="I82" s="10" t="n">
        <f aca="false">IFERROR(G82*H82,0)</f>
        <v>0</v>
      </c>
      <c r="J82" s="9" t="n">
        <f aca="false">IFERROR(YEAR(A82),"")</f>
        <v>1899</v>
      </c>
      <c r="K82" s="9" t="n">
        <f aca="false">IFERROR(MONTH(A82),"")</f>
        <v>12</v>
      </c>
    </row>
    <row r="83" customFormat="false" ht="15" hidden="false" customHeight="false" outlineLevel="0" collapsed="false">
      <c r="A83" s="8"/>
      <c r="B83" s="9"/>
      <c r="C83" s="9"/>
      <c r="D83" s="9"/>
      <c r="E83" s="9"/>
      <c r="F83" s="9"/>
      <c r="G83" s="9"/>
      <c r="H83" s="10"/>
      <c r="I83" s="10" t="n">
        <f aca="false">IFERROR(G83*H83,0)</f>
        <v>0</v>
      </c>
      <c r="J83" s="9" t="n">
        <f aca="false">IFERROR(YEAR(A83),"")</f>
        <v>1899</v>
      </c>
      <c r="K83" s="9" t="n">
        <f aca="false">IFERROR(MONTH(A83),"")</f>
        <v>12</v>
      </c>
    </row>
    <row r="84" customFormat="false" ht="15" hidden="false" customHeight="false" outlineLevel="0" collapsed="false">
      <c r="A84" s="8"/>
      <c r="B84" s="9"/>
      <c r="C84" s="9"/>
      <c r="D84" s="9"/>
      <c r="E84" s="9"/>
      <c r="F84" s="9"/>
      <c r="G84" s="9"/>
      <c r="H84" s="10"/>
      <c r="I84" s="10" t="n">
        <f aca="false">IFERROR(G84*H84,0)</f>
        <v>0</v>
      </c>
      <c r="J84" s="9" t="n">
        <f aca="false">IFERROR(YEAR(A84),"")</f>
        <v>1899</v>
      </c>
      <c r="K84" s="9" t="n">
        <f aca="false">IFERROR(MONTH(A84),"")</f>
        <v>12</v>
      </c>
    </row>
    <row r="85" customFormat="false" ht="15" hidden="false" customHeight="false" outlineLevel="0" collapsed="false">
      <c r="A85" s="8"/>
      <c r="B85" s="9"/>
      <c r="C85" s="9"/>
      <c r="D85" s="9"/>
      <c r="E85" s="9"/>
      <c r="F85" s="9"/>
      <c r="G85" s="9"/>
      <c r="H85" s="10"/>
      <c r="I85" s="10" t="n">
        <f aca="false">IFERROR(G85*H85,0)</f>
        <v>0</v>
      </c>
      <c r="J85" s="9" t="n">
        <f aca="false">IFERROR(YEAR(A85),"")</f>
        <v>1899</v>
      </c>
      <c r="K85" s="9" t="n">
        <f aca="false">IFERROR(MONTH(A85),"")</f>
        <v>12</v>
      </c>
    </row>
    <row r="86" customFormat="false" ht="15" hidden="false" customHeight="false" outlineLevel="0" collapsed="false">
      <c r="A86" s="8"/>
      <c r="B86" s="9"/>
      <c r="C86" s="9"/>
      <c r="D86" s="9"/>
      <c r="E86" s="9"/>
      <c r="F86" s="9"/>
      <c r="G86" s="9"/>
      <c r="H86" s="10"/>
      <c r="I86" s="10" t="n">
        <f aca="false">IFERROR(G86*H86,0)</f>
        <v>0</v>
      </c>
      <c r="J86" s="9" t="n">
        <f aca="false">IFERROR(YEAR(A86),"")</f>
        <v>1899</v>
      </c>
      <c r="K86" s="9" t="n">
        <f aca="false">IFERROR(MONTH(A86),"")</f>
        <v>12</v>
      </c>
    </row>
    <row r="87" customFormat="false" ht="15" hidden="false" customHeight="false" outlineLevel="0" collapsed="false">
      <c r="A87" s="8"/>
      <c r="B87" s="9"/>
      <c r="C87" s="9"/>
      <c r="D87" s="9"/>
      <c r="E87" s="9"/>
      <c r="F87" s="9"/>
      <c r="G87" s="9"/>
      <c r="H87" s="10"/>
      <c r="I87" s="10" t="n">
        <f aca="false">IFERROR(G87*H87,0)</f>
        <v>0</v>
      </c>
      <c r="J87" s="9" t="n">
        <f aca="false">IFERROR(YEAR(A87),"")</f>
        <v>1899</v>
      </c>
      <c r="K87" s="9" t="n">
        <f aca="false">IFERROR(MONTH(A87),"")</f>
        <v>12</v>
      </c>
    </row>
    <row r="88" customFormat="false" ht="15" hidden="false" customHeight="false" outlineLevel="0" collapsed="false">
      <c r="A88" s="8"/>
      <c r="B88" s="9"/>
      <c r="C88" s="9"/>
      <c r="D88" s="9"/>
      <c r="E88" s="9"/>
      <c r="F88" s="9"/>
      <c r="G88" s="9"/>
      <c r="H88" s="10"/>
      <c r="I88" s="10" t="n">
        <f aca="false">IFERROR(G88*H88,0)</f>
        <v>0</v>
      </c>
      <c r="J88" s="9" t="n">
        <f aca="false">IFERROR(YEAR(A88),"")</f>
        <v>1899</v>
      </c>
      <c r="K88" s="9" t="n">
        <f aca="false">IFERROR(MONTH(A88),"")</f>
        <v>12</v>
      </c>
    </row>
    <row r="89" customFormat="false" ht="15" hidden="false" customHeight="false" outlineLevel="0" collapsed="false">
      <c r="A89" s="8"/>
      <c r="B89" s="9"/>
      <c r="C89" s="9"/>
      <c r="D89" s="9"/>
      <c r="E89" s="9"/>
      <c r="F89" s="9"/>
      <c r="G89" s="9"/>
      <c r="H89" s="10"/>
      <c r="I89" s="10" t="n">
        <f aca="false">IFERROR(G89*H89,0)</f>
        <v>0</v>
      </c>
      <c r="J89" s="9" t="n">
        <f aca="false">IFERROR(YEAR(A89),"")</f>
        <v>1899</v>
      </c>
      <c r="K89" s="9" t="n">
        <f aca="false">IFERROR(MONTH(A89),"")</f>
        <v>12</v>
      </c>
    </row>
    <row r="90" customFormat="false" ht="15" hidden="false" customHeight="false" outlineLevel="0" collapsed="false">
      <c r="A90" s="8"/>
      <c r="B90" s="9"/>
      <c r="C90" s="9"/>
      <c r="D90" s="9"/>
      <c r="E90" s="9"/>
      <c r="F90" s="9"/>
      <c r="G90" s="9"/>
      <c r="H90" s="10"/>
      <c r="I90" s="10" t="n">
        <f aca="false">IFERROR(G90*H90,0)</f>
        <v>0</v>
      </c>
      <c r="J90" s="9" t="n">
        <f aca="false">IFERROR(YEAR(A90),"")</f>
        <v>1899</v>
      </c>
      <c r="K90" s="9" t="n">
        <f aca="false">IFERROR(MONTH(A90),"")</f>
        <v>12</v>
      </c>
    </row>
    <row r="91" customFormat="false" ht="15" hidden="false" customHeight="false" outlineLevel="0" collapsed="false">
      <c r="A91" s="8"/>
      <c r="B91" s="9"/>
      <c r="C91" s="9"/>
      <c r="D91" s="9"/>
      <c r="E91" s="9"/>
      <c r="F91" s="9"/>
      <c r="G91" s="9"/>
      <c r="H91" s="10"/>
      <c r="I91" s="10" t="n">
        <f aca="false">IFERROR(G91*H91,0)</f>
        <v>0</v>
      </c>
      <c r="J91" s="9" t="n">
        <f aca="false">IFERROR(YEAR(A91),"")</f>
        <v>1899</v>
      </c>
      <c r="K91" s="9" t="n">
        <f aca="false">IFERROR(MONTH(A91),"")</f>
        <v>12</v>
      </c>
    </row>
    <row r="92" customFormat="false" ht="15" hidden="false" customHeight="false" outlineLevel="0" collapsed="false">
      <c r="A92" s="8"/>
      <c r="B92" s="9"/>
      <c r="C92" s="9"/>
      <c r="D92" s="9"/>
      <c r="E92" s="9"/>
      <c r="F92" s="9"/>
      <c r="G92" s="9"/>
      <c r="H92" s="10"/>
      <c r="I92" s="10" t="n">
        <f aca="false">IFERROR(G92*H92,0)</f>
        <v>0</v>
      </c>
      <c r="J92" s="9" t="n">
        <f aca="false">IFERROR(YEAR(A92),"")</f>
        <v>1899</v>
      </c>
      <c r="K92" s="9" t="n">
        <f aca="false">IFERROR(MONTH(A92),"")</f>
        <v>12</v>
      </c>
    </row>
    <row r="93" customFormat="false" ht="15" hidden="false" customHeight="false" outlineLevel="0" collapsed="false">
      <c r="A93" s="8"/>
      <c r="B93" s="9"/>
      <c r="C93" s="9"/>
      <c r="D93" s="9"/>
      <c r="E93" s="9"/>
      <c r="F93" s="9"/>
      <c r="G93" s="9"/>
      <c r="H93" s="10"/>
      <c r="I93" s="10" t="n">
        <f aca="false">IFERROR(G93*H93,0)</f>
        <v>0</v>
      </c>
      <c r="J93" s="9" t="n">
        <f aca="false">IFERROR(YEAR(A93),"")</f>
        <v>1899</v>
      </c>
      <c r="K93" s="9" t="n">
        <f aca="false">IFERROR(MONTH(A93),"")</f>
        <v>12</v>
      </c>
    </row>
    <row r="94" customFormat="false" ht="15" hidden="false" customHeight="false" outlineLevel="0" collapsed="false">
      <c r="A94" s="8"/>
      <c r="B94" s="9"/>
      <c r="C94" s="9"/>
      <c r="D94" s="9"/>
      <c r="E94" s="9"/>
      <c r="F94" s="9"/>
      <c r="G94" s="9"/>
      <c r="H94" s="10"/>
      <c r="I94" s="10" t="n">
        <f aca="false">IFERROR(G94*H94,0)</f>
        <v>0</v>
      </c>
      <c r="J94" s="9" t="n">
        <f aca="false">IFERROR(YEAR(A94),"")</f>
        <v>1899</v>
      </c>
      <c r="K94" s="9" t="n">
        <f aca="false">IFERROR(MONTH(A94),"")</f>
        <v>12</v>
      </c>
    </row>
    <row r="95" customFormat="false" ht="15" hidden="false" customHeight="false" outlineLevel="0" collapsed="false">
      <c r="A95" s="8"/>
      <c r="B95" s="9"/>
      <c r="C95" s="9"/>
      <c r="D95" s="9"/>
      <c r="E95" s="9"/>
      <c r="F95" s="9"/>
      <c r="G95" s="9"/>
      <c r="H95" s="10"/>
      <c r="I95" s="10" t="n">
        <f aca="false">IFERROR(G95*H95,0)</f>
        <v>0</v>
      </c>
      <c r="J95" s="9" t="n">
        <f aca="false">IFERROR(YEAR(A95),"")</f>
        <v>1899</v>
      </c>
      <c r="K95" s="9" t="n">
        <f aca="false">IFERROR(MONTH(A95),"")</f>
        <v>12</v>
      </c>
    </row>
    <row r="96" customFormat="false" ht="15" hidden="false" customHeight="false" outlineLevel="0" collapsed="false">
      <c r="A96" s="8"/>
      <c r="B96" s="9"/>
      <c r="C96" s="9"/>
      <c r="D96" s="9"/>
      <c r="E96" s="9"/>
      <c r="F96" s="9"/>
      <c r="G96" s="9"/>
      <c r="H96" s="10"/>
      <c r="I96" s="10" t="n">
        <f aca="false">IFERROR(G96*H96,0)</f>
        <v>0</v>
      </c>
      <c r="J96" s="9" t="n">
        <f aca="false">IFERROR(YEAR(A96),"")</f>
        <v>1899</v>
      </c>
      <c r="K96" s="9" t="n">
        <f aca="false">IFERROR(MONTH(A96),"")</f>
        <v>12</v>
      </c>
    </row>
    <row r="97" customFormat="false" ht="15" hidden="false" customHeight="false" outlineLevel="0" collapsed="false">
      <c r="A97" s="8"/>
      <c r="B97" s="9"/>
      <c r="C97" s="9"/>
      <c r="D97" s="9"/>
      <c r="E97" s="9"/>
      <c r="F97" s="9"/>
      <c r="G97" s="9"/>
      <c r="H97" s="10"/>
      <c r="I97" s="10" t="n">
        <f aca="false">IFERROR(G97*H97,0)</f>
        <v>0</v>
      </c>
      <c r="J97" s="9" t="n">
        <f aca="false">IFERROR(YEAR(A97),"")</f>
        <v>1899</v>
      </c>
      <c r="K97" s="9" t="n">
        <f aca="false">IFERROR(MONTH(A97),"")</f>
        <v>12</v>
      </c>
    </row>
    <row r="98" customFormat="false" ht="15" hidden="false" customHeight="false" outlineLevel="0" collapsed="false">
      <c r="A98" s="8"/>
      <c r="B98" s="9"/>
      <c r="C98" s="9"/>
      <c r="D98" s="9"/>
      <c r="E98" s="9"/>
      <c r="F98" s="9"/>
      <c r="G98" s="9"/>
      <c r="H98" s="10"/>
      <c r="I98" s="10" t="n">
        <f aca="false">IFERROR(G98*H98,0)</f>
        <v>0</v>
      </c>
      <c r="J98" s="9" t="n">
        <f aca="false">IFERROR(YEAR(A98),"")</f>
        <v>1899</v>
      </c>
      <c r="K98" s="9" t="n">
        <f aca="false">IFERROR(MONTH(A98),"")</f>
        <v>12</v>
      </c>
    </row>
    <row r="99" customFormat="false" ht="15" hidden="false" customHeight="false" outlineLevel="0" collapsed="false">
      <c r="A99" s="8"/>
      <c r="B99" s="9"/>
      <c r="C99" s="9"/>
      <c r="D99" s="9"/>
      <c r="E99" s="9"/>
      <c r="F99" s="9"/>
      <c r="G99" s="9"/>
      <c r="H99" s="10"/>
      <c r="I99" s="10" t="n">
        <f aca="false">IFERROR(G99*H99,0)</f>
        <v>0</v>
      </c>
      <c r="J99" s="9" t="n">
        <f aca="false">IFERROR(YEAR(A99),"")</f>
        <v>1899</v>
      </c>
      <c r="K99" s="9" t="n">
        <f aca="false">IFERROR(MONTH(A99),"")</f>
        <v>12</v>
      </c>
    </row>
    <row r="100" customFormat="false" ht="15" hidden="false" customHeight="false" outlineLevel="0" collapsed="false">
      <c r="A100" s="8"/>
      <c r="B100" s="9"/>
      <c r="C100" s="9"/>
      <c r="D100" s="9"/>
      <c r="E100" s="9"/>
      <c r="F100" s="9"/>
      <c r="G100" s="9"/>
      <c r="H100" s="10"/>
      <c r="I100" s="10" t="n">
        <f aca="false">IFERROR(G100*H100,0)</f>
        <v>0</v>
      </c>
      <c r="J100" s="9" t="n">
        <f aca="false">IFERROR(YEAR(A100),"")</f>
        <v>1899</v>
      </c>
      <c r="K100" s="9" t="n">
        <f aca="false">IFERROR(MONTH(A100),"")</f>
        <v>12</v>
      </c>
    </row>
    <row r="101" customFormat="false" ht="15" hidden="false" customHeight="false" outlineLevel="0" collapsed="false">
      <c r="A101" s="8"/>
      <c r="B101" s="9"/>
      <c r="C101" s="9"/>
      <c r="D101" s="9"/>
      <c r="E101" s="9"/>
      <c r="F101" s="9"/>
      <c r="G101" s="9"/>
      <c r="H101" s="10"/>
      <c r="I101" s="10" t="n">
        <f aca="false">IFERROR(G101*H101,0)</f>
        <v>0</v>
      </c>
      <c r="J101" s="9" t="n">
        <f aca="false">IFERROR(YEAR(A101),"")</f>
        <v>1899</v>
      </c>
      <c r="K101" s="9" t="n">
        <f aca="false">IFERROR(MONTH(A101),"")</f>
        <v>12</v>
      </c>
    </row>
    <row r="102" customFormat="false" ht="15" hidden="false" customHeight="false" outlineLevel="0" collapsed="false">
      <c r="A102" s="8"/>
      <c r="B102" s="9"/>
      <c r="C102" s="9"/>
      <c r="D102" s="9"/>
      <c r="E102" s="9"/>
      <c r="F102" s="9"/>
      <c r="G102" s="9"/>
      <c r="H102" s="10"/>
      <c r="I102" s="10" t="n">
        <f aca="false">IFERROR(G102*H102,0)</f>
        <v>0</v>
      </c>
      <c r="J102" s="9" t="n">
        <f aca="false">IFERROR(YEAR(A102),"")</f>
        <v>1899</v>
      </c>
      <c r="K102" s="9" t="n">
        <f aca="false">IFERROR(MONTH(A102),"")</f>
        <v>12</v>
      </c>
    </row>
    <row r="103" customFormat="false" ht="15" hidden="false" customHeight="false" outlineLevel="0" collapsed="false">
      <c r="A103" s="8"/>
      <c r="B103" s="9"/>
      <c r="C103" s="9"/>
      <c r="D103" s="9"/>
      <c r="E103" s="9"/>
      <c r="F103" s="9"/>
      <c r="G103" s="9"/>
      <c r="H103" s="10"/>
      <c r="I103" s="10" t="n">
        <f aca="false">IFERROR(G103*H103,0)</f>
        <v>0</v>
      </c>
      <c r="J103" s="9" t="n">
        <f aca="false">IFERROR(YEAR(A103),"")</f>
        <v>1899</v>
      </c>
      <c r="K103" s="9" t="n">
        <f aca="false">IFERROR(MONTH(A103),"")</f>
        <v>12</v>
      </c>
    </row>
    <row r="104" customFormat="false" ht="15" hidden="false" customHeight="false" outlineLevel="0" collapsed="false">
      <c r="A104" s="8"/>
      <c r="B104" s="9"/>
      <c r="C104" s="9"/>
      <c r="D104" s="9"/>
      <c r="E104" s="9"/>
      <c r="F104" s="9"/>
      <c r="G104" s="9"/>
      <c r="H104" s="10"/>
      <c r="I104" s="10" t="n">
        <f aca="false">IFERROR(G104*H104,0)</f>
        <v>0</v>
      </c>
      <c r="J104" s="9" t="n">
        <f aca="false">IFERROR(YEAR(A104),"")</f>
        <v>1899</v>
      </c>
      <c r="K104" s="9" t="n">
        <f aca="false">IFERROR(MONTH(A104),"")</f>
        <v>12</v>
      </c>
    </row>
    <row r="105" customFormat="false" ht="15" hidden="false" customHeight="false" outlineLevel="0" collapsed="false">
      <c r="A105" s="8"/>
      <c r="B105" s="9"/>
      <c r="C105" s="9"/>
      <c r="D105" s="9"/>
      <c r="E105" s="9"/>
      <c r="F105" s="9"/>
      <c r="G105" s="9"/>
      <c r="H105" s="10"/>
      <c r="I105" s="10" t="n">
        <f aca="false">IFERROR(G105*H105,0)</f>
        <v>0</v>
      </c>
      <c r="J105" s="9" t="n">
        <f aca="false">IFERROR(YEAR(A105),"")</f>
        <v>1899</v>
      </c>
      <c r="K105" s="9" t="n">
        <f aca="false">IFERROR(MONTH(A105),"")</f>
        <v>12</v>
      </c>
    </row>
    <row r="106" customFormat="false" ht="15" hidden="false" customHeight="false" outlineLevel="0" collapsed="false">
      <c r="A106" s="8"/>
      <c r="B106" s="9"/>
      <c r="C106" s="9"/>
      <c r="D106" s="9"/>
      <c r="E106" s="9"/>
      <c r="F106" s="9"/>
      <c r="G106" s="9"/>
      <c r="H106" s="10"/>
      <c r="I106" s="10" t="n">
        <f aca="false">IFERROR(G106*H106,0)</f>
        <v>0</v>
      </c>
      <c r="J106" s="9" t="n">
        <f aca="false">IFERROR(YEAR(A106),"")</f>
        <v>1899</v>
      </c>
      <c r="K106" s="9" t="n">
        <f aca="false">IFERROR(MONTH(A106),"")</f>
        <v>12</v>
      </c>
    </row>
    <row r="107" customFormat="false" ht="15" hidden="false" customHeight="false" outlineLevel="0" collapsed="false">
      <c r="A107" s="8"/>
      <c r="B107" s="9"/>
      <c r="C107" s="9"/>
      <c r="D107" s="9"/>
      <c r="E107" s="9"/>
      <c r="F107" s="9"/>
      <c r="G107" s="9"/>
      <c r="H107" s="10"/>
      <c r="I107" s="10" t="n">
        <f aca="false">IFERROR(G107*H107,0)</f>
        <v>0</v>
      </c>
      <c r="J107" s="9" t="n">
        <f aca="false">IFERROR(YEAR(A107),"")</f>
        <v>1899</v>
      </c>
      <c r="K107" s="9" t="n">
        <f aca="false">IFERROR(MONTH(A107),"")</f>
        <v>12</v>
      </c>
    </row>
    <row r="108" customFormat="false" ht="15" hidden="false" customHeight="false" outlineLevel="0" collapsed="false">
      <c r="A108" s="8"/>
      <c r="B108" s="9"/>
      <c r="C108" s="9"/>
      <c r="D108" s="9"/>
      <c r="E108" s="9"/>
      <c r="F108" s="9"/>
      <c r="G108" s="9"/>
      <c r="H108" s="10"/>
      <c r="I108" s="10" t="n">
        <f aca="false">IFERROR(G108*H108,0)</f>
        <v>0</v>
      </c>
      <c r="J108" s="9" t="n">
        <f aca="false">IFERROR(YEAR(A108),"")</f>
        <v>1899</v>
      </c>
      <c r="K108" s="9" t="n">
        <f aca="false">IFERROR(MONTH(A108),"")</f>
        <v>12</v>
      </c>
    </row>
    <row r="109" customFormat="false" ht="15" hidden="false" customHeight="false" outlineLevel="0" collapsed="false">
      <c r="A109" s="8"/>
      <c r="B109" s="9"/>
      <c r="C109" s="9"/>
      <c r="D109" s="9"/>
      <c r="E109" s="9"/>
      <c r="F109" s="9"/>
      <c r="G109" s="9"/>
      <c r="H109" s="10"/>
      <c r="I109" s="10" t="n">
        <f aca="false">IFERROR(G109*H109,0)</f>
        <v>0</v>
      </c>
      <c r="J109" s="9" t="n">
        <f aca="false">IFERROR(YEAR(A109),"")</f>
        <v>1899</v>
      </c>
      <c r="K109" s="9" t="n">
        <f aca="false">IFERROR(MONTH(A109),"")</f>
        <v>12</v>
      </c>
    </row>
    <row r="110" customFormat="false" ht="15" hidden="false" customHeight="false" outlineLevel="0" collapsed="false">
      <c r="A110" s="8"/>
      <c r="B110" s="9"/>
      <c r="C110" s="9"/>
      <c r="D110" s="9"/>
      <c r="E110" s="9"/>
      <c r="F110" s="9"/>
      <c r="G110" s="9"/>
      <c r="H110" s="10"/>
      <c r="I110" s="10" t="n">
        <f aca="false">IFERROR(G110*H110,0)</f>
        <v>0</v>
      </c>
      <c r="J110" s="9" t="n">
        <f aca="false">IFERROR(YEAR(A110),"")</f>
        <v>1899</v>
      </c>
      <c r="K110" s="9" t="n">
        <f aca="false">IFERROR(MONTH(A110),"")</f>
        <v>12</v>
      </c>
    </row>
    <row r="111" customFormat="false" ht="15" hidden="false" customHeight="false" outlineLevel="0" collapsed="false">
      <c r="A111" s="8"/>
      <c r="B111" s="9"/>
      <c r="C111" s="9"/>
      <c r="D111" s="9"/>
      <c r="E111" s="9"/>
      <c r="F111" s="9"/>
      <c r="G111" s="9"/>
      <c r="H111" s="10"/>
      <c r="I111" s="10" t="n">
        <f aca="false">IFERROR(G111*H111,0)</f>
        <v>0</v>
      </c>
      <c r="J111" s="9" t="n">
        <f aca="false">IFERROR(YEAR(A111),"")</f>
        <v>1899</v>
      </c>
      <c r="K111" s="9" t="n">
        <f aca="false">IFERROR(MONTH(A111),"")</f>
        <v>12</v>
      </c>
    </row>
    <row r="112" customFormat="false" ht="15" hidden="false" customHeight="false" outlineLevel="0" collapsed="false">
      <c r="A112" s="8"/>
      <c r="B112" s="9"/>
      <c r="C112" s="9"/>
      <c r="D112" s="9"/>
      <c r="E112" s="9"/>
      <c r="F112" s="9"/>
      <c r="G112" s="9"/>
      <c r="H112" s="10"/>
      <c r="I112" s="10" t="n">
        <f aca="false">IFERROR(G112*H112,0)</f>
        <v>0</v>
      </c>
      <c r="J112" s="9" t="n">
        <f aca="false">IFERROR(YEAR(A112),"")</f>
        <v>1899</v>
      </c>
      <c r="K112" s="9" t="n">
        <f aca="false">IFERROR(MONTH(A112),"")</f>
        <v>12</v>
      </c>
    </row>
    <row r="113" customFormat="false" ht="15" hidden="false" customHeight="false" outlineLevel="0" collapsed="false">
      <c r="A113" s="8"/>
      <c r="B113" s="9"/>
      <c r="C113" s="9"/>
      <c r="D113" s="9"/>
      <c r="E113" s="9"/>
      <c r="F113" s="9"/>
      <c r="G113" s="9"/>
      <c r="H113" s="10"/>
      <c r="I113" s="10" t="n">
        <f aca="false">IFERROR(G113*H113,0)</f>
        <v>0</v>
      </c>
      <c r="J113" s="9" t="n">
        <f aca="false">IFERROR(YEAR(A113),"")</f>
        <v>1899</v>
      </c>
      <c r="K113" s="9" t="n">
        <f aca="false">IFERROR(MONTH(A113),"")</f>
        <v>12</v>
      </c>
    </row>
    <row r="114" customFormat="false" ht="15" hidden="false" customHeight="false" outlineLevel="0" collapsed="false">
      <c r="A114" s="8"/>
      <c r="B114" s="9"/>
      <c r="C114" s="9"/>
      <c r="D114" s="9"/>
      <c r="E114" s="9"/>
      <c r="F114" s="9"/>
      <c r="G114" s="9"/>
      <c r="H114" s="10"/>
      <c r="I114" s="10" t="n">
        <f aca="false">IFERROR(G114*H114,0)</f>
        <v>0</v>
      </c>
      <c r="J114" s="9" t="n">
        <f aca="false">IFERROR(YEAR(A114),"")</f>
        <v>1899</v>
      </c>
      <c r="K114" s="9" t="n">
        <f aca="false">IFERROR(MONTH(A114),"")</f>
        <v>12</v>
      </c>
    </row>
    <row r="115" customFormat="false" ht="15" hidden="false" customHeight="false" outlineLevel="0" collapsed="false">
      <c r="A115" s="8"/>
      <c r="B115" s="9"/>
      <c r="C115" s="9"/>
      <c r="D115" s="9"/>
      <c r="E115" s="9"/>
      <c r="F115" s="9"/>
      <c r="G115" s="9"/>
      <c r="H115" s="10"/>
      <c r="I115" s="10" t="n">
        <f aca="false">IFERROR(G115*H115,0)</f>
        <v>0</v>
      </c>
      <c r="J115" s="9" t="n">
        <f aca="false">IFERROR(YEAR(A115),"")</f>
        <v>1899</v>
      </c>
      <c r="K115" s="9" t="n">
        <f aca="false">IFERROR(MONTH(A115),"")</f>
        <v>12</v>
      </c>
    </row>
    <row r="116" customFormat="false" ht="15" hidden="false" customHeight="false" outlineLevel="0" collapsed="false">
      <c r="A116" s="8"/>
      <c r="B116" s="9"/>
      <c r="C116" s="9"/>
      <c r="D116" s="9"/>
      <c r="E116" s="9"/>
      <c r="F116" s="9"/>
      <c r="G116" s="9"/>
      <c r="H116" s="10"/>
      <c r="I116" s="10" t="n">
        <f aca="false">IFERROR(G116*H116,0)</f>
        <v>0</v>
      </c>
      <c r="J116" s="9" t="n">
        <f aca="false">IFERROR(YEAR(A116),"")</f>
        <v>1899</v>
      </c>
      <c r="K116" s="9" t="n">
        <f aca="false">IFERROR(MONTH(A116),"")</f>
        <v>12</v>
      </c>
    </row>
    <row r="117" customFormat="false" ht="15" hidden="false" customHeight="false" outlineLevel="0" collapsed="false">
      <c r="A117" s="8"/>
      <c r="B117" s="9"/>
      <c r="C117" s="9"/>
      <c r="D117" s="9"/>
      <c r="E117" s="9"/>
      <c r="F117" s="9"/>
      <c r="G117" s="9"/>
      <c r="H117" s="10"/>
      <c r="I117" s="10" t="n">
        <f aca="false">IFERROR(G117*H117,0)</f>
        <v>0</v>
      </c>
      <c r="J117" s="9" t="n">
        <f aca="false">IFERROR(YEAR(A117),"")</f>
        <v>1899</v>
      </c>
      <c r="K117" s="9" t="n">
        <f aca="false">IFERROR(MONTH(A117),"")</f>
        <v>12</v>
      </c>
    </row>
    <row r="118" customFormat="false" ht="15" hidden="false" customHeight="false" outlineLevel="0" collapsed="false">
      <c r="A118" s="8"/>
      <c r="B118" s="9"/>
      <c r="C118" s="9"/>
      <c r="D118" s="9"/>
      <c r="E118" s="9"/>
      <c r="F118" s="9"/>
      <c r="G118" s="9"/>
      <c r="H118" s="10"/>
      <c r="I118" s="10" t="n">
        <f aca="false">IFERROR(G118*H118,0)</f>
        <v>0</v>
      </c>
      <c r="J118" s="9" t="n">
        <f aca="false">IFERROR(YEAR(A118),"")</f>
        <v>1899</v>
      </c>
      <c r="K118" s="9" t="n">
        <f aca="false">IFERROR(MONTH(A118),"")</f>
        <v>12</v>
      </c>
    </row>
    <row r="119" customFormat="false" ht="15" hidden="false" customHeight="false" outlineLevel="0" collapsed="false">
      <c r="A119" s="8"/>
      <c r="B119" s="9"/>
      <c r="C119" s="9"/>
      <c r="D119" s="9"/>
      <c r="E119" s="9"/>
      <c r="F119" s="9"/>
      <c r="G119" s="9"/>
      <c r="H119" s="10"/>
      <c r="I119" s="10" t="n">
        <f aca="false">IFERROR(G119*H119,0)</f>
        <v>0</v>
      </c>
      <c r="J119" s="9" t="n">
        <f aca="false">IFERROR(YEAR(A119),"")</f>
        <v>1899</v>
      </c>
      <c r="K119" s="9" t="n">
        <f aca="false">IFERROR(MONTH(A119),"")</f>
        <v>12</v>
      </c>
    </row>
    <row r="120" customFormat="false" ht="15" hidden="false" customHeight="false" outlineLevel="0" collapsed="false">
      <c r="A120" s="8"/>
      <c r="B120" s="9"/>
      <c r="C120" s="9"/>
      <c r="D120" s="9"/>
      <c r="E120" s="9"/>
      <c r="F120" s="9"/>
      <c r="G120" s="9"/>
      <c r="H120" s="10"/>
      <c r="I120" s="10" t="n">
        <f aca="false">IFERROR(G120*H120,0)</f>
        <v>0</v>
      </c>
      <c r="J120" s="9" t="n">
        <f aca="false">IFERROR(YEAR(A120),"")</f>
        <v>1899</v>
      </c>
      <c r="K120" s="9" t="n">
        <f aca="false">IFERROR(MONTH(A120),"")</f>
        <v>12</v>
      </c>
    </row>
    <row r="121" customFormat="false" ht="15" hidden="false" customHeight="false" outlineLevel="0" collapsed="false">
      <c r="A121" s="8"/>
      <c r="B121" s="9"/>
      <c r="C121" s="9"/>
      <c r="D121" s="9"/>
      <c r="E121" s="9"/>
      <c r="F121" s="9"/>
      <c r="G121" s="9"/>
      <c r="H121" s="10"/>
      <c r="I121" s="10" t="n">
        <f aca="false">IFERROR(G121*H121,0)</f>
        <v>0</v>
      </c>
      <c r="J121" s="9" t="n">
        <f aca="false">IFERROR(YEAR(A121),"")</f>
        <v>1899</v>
      </c>
      <c r="K121" s="9" t="n">
        <f aca="false">IFERROR(MONTH(A121),"")</f>
        <v>12</v>
      </c>
    </row>
    <row r="122" customFormat="false" ht="15" hidden="false" customHeight="false" outlineLevel="0" collapsed="false">
      <c r="A122" s="8"/>
      <c r="B122" s="9"/>
      <c r="C122" s="9"/>
      <c r="D122" s="9"/>
      <c r="E122" s="9"/>
      <c r="F122" s="9"/>
      <c r="G122" s="9"/>
      <c r="H122" s="10"/>
      <c r="I122" s="10" t="n">
        <f aca="false">IFERROR(G122*H122,0)</f>
        <v>0</v>
      </c>
      <c r="J122" s="9" t="n">
        <f aca="false">IFERROR(YEAR(A122),"")</f>
        <v>1899</v>
      </c>
      <c r="K122" s="9" t="n">
        <f aca="false">IFERROR(MONTH(A122),"")</f>
        <v>12</v>
      </c>
    </row>
    <row r="123" customFormat="false" ht="15" hidden="false" customHeight="false" outlineLevel="0" collapsed="false">
      <c r="A123" s="8"/>
      <c r="B123" s="9"/>
      <c r="C123" s="9"/>
      <c r="D123" s="9"/>
      <c r="E123" s="9"/>
      <c r="F123" s="9"/>
      <c r="G123" s="9"/>
      <c r="H123" s="10"/>
      <c r="I123" s="10" t="n">
        <f aca="false">IFERROR(G123*H123,0)</f>
        <v>0</v>
      </c>
      <c r="J123" s="9" t="n">
        <f aca="false">IFERROR(YEAR(A123),"")</f>
        <v>1899</v>
      </c>
      <c r="K123" s="9" t="n">
        <f aca="false">IFERROR(MONTH(A123),"")</f>
        <v>12</v>
      </c>
    </row>
    <row r="124" customFormat="false" ht="15" hidden="false" customHeight="false" outlineLevel="0" collapsed="false">
      <c r="A124" s="8"/>
      <c r="B124" s="9"/>
      <c r="C124" s="9"/>
      <c r="D124" s="9"/>
      <c r="E124" s="9"/>
      <c r="F124" s="9"/>
      <c r="G124" s="9"/>
      <c r="H124" s="10"/>
      <c r="I124" s="10" t="n">
        <f aca="false">IFERROR(G124*H124,0)</f>
        <v>0</v>
      </c>
      <c r="J124" s="9" t="n">
        <f aca="false">IFERROR(YEAR(A124),"")</f>
        <v>1899</v>
      </c>
      <c r="K124" s="9" t="n">
        <f aca="false">IFERROR(MONTH(A124),"")</f>
        <v>12</v>
      </c>
    </row>
    <row r="125" customFormat="false" ht="15" hidden="false" customHeight="false" outlineLevel="0" collapsed="false">
      <c r="A125" s="8"/>
      <c r="B125" s="9"/>
      <c r="C125" s="9"/>
      <c r="D125" s="9"/>
      <c r="E125" s="9"/>
      <c r="F125" s="9"/>
      <c r="G125" s="9"/>
      <c r="H125" s="10"/>
      <c r="I125" s="10" t="n">
        <f aca="false">IFERROR(G125*H125,0)</f>
        <v>0</v>
      </c>
      <c r="J125" s="9" t="n">
        <f aca="false">IFERROR(YEAR(A125),"")</f>
        <v>1899</v>
      </c>
      <c r="K125" s="9" t="n">
        <f aca="false">IFERROR(MONTH(A125),"")</f>
        <v>12</v>
      </c>
    </row>
    <row r="126" customFormat="false" ht="15" hidden="false" customHeight="false" outlineLevel="0" collapsed="false">
      <c r="A126" s="8"/>
      <c r="B126" s="9"/>
      <c r="C126" s="9"/>
      <c r="D126" s="9"/>
      <c r="E126" s="9"/>
      <c r="F126" s="9"/>
      <c r="G126" s="9"/>
      <c r="H126" s="10"/>
      <c r="I126" s="10" t="n">
        <f aca="false">IFERROR(G126*H126,0)</f>
        <v>0</v>
      </c>
      <c r="J126" s="9" t="n">
        <f aca="false">IFERROR(YEAR(A126),"")</f>
        <v>1899</v>
      </c>
      <c r="K126" s="9" t="n">
        <f aca="false">IFERROR(MONTH(A126),"")</f>
        <v>12</v>
      </c>
    </row>
    <row r="127" customFormat="false" ht="15" hidden="false" customHeight="false" outlineLevel="0" collapsed="false">
      <c r="A127" s="8"/>
      <c r="B127" s="9"/>
      <c r="C127" s="9"/>
      <c r="D127" s="9"/>
      <c r="E127" s="9"/>
      <c r="F127" s="9"/>
      <c r="G127" s="9"/>
      <c r="H127" s="10"/>
      <c r="I127" s="10" t="n">
        <f aca="false">IFERROR(G127*H127,0)</f>
        <v>0</v>
      </c>
      <c r="J127" s="9" t="n">
        <f aca="false">IFERROR(YEAR(A127),"")</f>
        <v>1899</v>
      </c>
      <c r="K127" s="9" t="n">
        <f aca="false">IFERROR(MONTH(A127),"")</f>
        <v>12</v>
      </c>
    </row>
    <row r="128" customFormat="false" ht="15" hidden="false" customHeight="false" outlineLevel="0" collapsed="false">
      <c r="A128" s="8"/>
      <c r="B128" s="9"/>
      <c r="C128" s="9"/>
      <c r="D128" s="9"/>
      <c r="E128" s="9"/>
      <c r="F128" s="9"/>
      <c r="G128" s="9"/>
      <c r="H128" s="10"/>
      <c r="I128" s="10" t="n">
        <f aca="false">IFERROR(G128*H128,0)</f>
        <v>0</v>
      </c>
      <c r="J128" s="9" t="n">
        <f aca="false">IFERROR(YEAR(A128),"")</f>
        <v>1899</v>
      </c>
      <c r="K128" s="9" t="n">
        <f aca="false">IFERROR(MONTH(A128),"")</f>
        <v>12</v>
      </c>
    </row>
    <row r="129" customFormat="false" ht="15" hidden="false" customHeight="false" outlineLevel="0" collapsed="false">
      <c r="A129" s="8"/>
      <c r="B129" s="9"/>
      <c r="C129" s="9"/>
      <c r="D129" s="9"/>
      <c r="E129" s="9"/>
      <c r="F129" s="9"/>
      <c r="G129" s="9"/>
      <c r="H129" s="10"/>
      <c r="I129" s="10" t="n">
        <f aca="false">IFERROR(G129*H129,0)</f>
        <v>0</v>
      </c>
      <c r="J129" s="9" t="n">
        <f aca="false">IFERROR(YEAR(A129),"")</f>
        <v>1899</v>
      </c>
      <c r="K129" s="9" t="n">
        <f aca="false">IFERROR(MONTH(A129),"")</f>
        <v>12</v>
      </c>
    </row>
    <row r="130" customFormat="false" ht="15" hidden="false" customHeight="false" outlineLevel="0" collapsed="false">
      <c r="A130" s="8"/>
      <c r="B130" s="9"/>
      <c r="C130" s="9"/>
      <c r="D130" s="9"/>
      <c r="E130" s="9"/>
      <c r="F130" s="9"/>
      <c r="G130" s="9"/>
      <c r="H130" s="10"/>
      <c r="I130" s="10" t="n">
        <f aca="false">IFERROR(G130*H130,0)</f>
        <v>0</v>
      </c>
      <c r="J130" s="9" t="n">
        <f aca="false">IFERROR(YEAR(A130),"")</f>
        <v>1899</v>
      </c>
      <c r="K130" s="9" t="n">
        <f aca="false">IFERROR(MONTH(A130),"")</f>
        <v>12</v>
      </c>
    </row>
    <row r="131" customFormat="false" ht="15" hidden="false" customHeight="false" outlineLevel="0" collapsed="false">
      <c r="A131" s="8"/>
      <c r="B131" s="9"/>
      <c r="C131" s="9"/>
      <c r="D131" s="9"/>
      <c r="E131" s="9"/>
      <c r="F131" s="9"/>
      <c r="G131" s="9"/>
      <c r="H131" s="10"/>
      <c r="I131" s="10" t="n">
        <f aca="false">IFERROR(G131*H131,0)</f>
        <v>0</v>
      </c>
      <c r="J131" s="9" t="n">
        <f aca="false">IFERROR(YEAR(A131),"")</f>
        <v>1899</v>
      </c>
      <c r="K131" s="9" t="n">
        <f aca="false">IFERROR(MONTH(A131),"")</f>
        <v>12</v>
      </c>
    </row>
    <row r="132" customFormat="false" ht="15" hidden="false" customHeight="false" outlineLevel="0" collapsed="false">
      <c r="A132" s="8"/>
      <c r="B132" s="9"/>
      <c r="C132" s="9"/>
      <c r="D132" s="9"/>
      <c r="E132" s="9"/>
      <c r="F132" s="9"/>
      <c r="G132" s="9"/>
      <c r="H132" s="10"/>
      <c r="I132" s="10" t="n">
        <f aca="false">IFERROR(G132*H132,0)</f>
        <v>0</v>
      </c>
      <c r="J132" s="9" t="n">
        <f aca="false">IFERROR(YEAR(A132),"")</f>
        <v>1899</v>
      </c>
      <c r="K132" s="9" t="n">
        <f aca="false">IFERROR(MONTH(A132),"")</f>
        <v>12</v>
      </c>
    </row>
    <row r="133" customFormat="false" ht="15" hidden="false" customHeight="false" outlineLevel="0" collapsed="false">
      <c r="A133" s="8"/>
      <c r="B133" s="9"/>
      <c r="C133" s="9"/>
      <c r="D133" s="9"/>
      <c r="E133" s="9"/>
      <c r="F133" s="9"/>
      <c r="G133" s="9"/>
      <c r="H133" s="10"/>
      <c r="I133" s="10" t="n">
        <f aca="false">IFERROR(G133*H133,0)</f>
        <v>0</v>
      </c>
      <c r="J133" s="9" t="n">
        <f aca="false">IFERROR(YEAR(A133),"")</f>
        <v>1899</v>
      </c>
      <c r="K133" s="9" t="n">
        <f aca="false">IFERROR(MONTH(A133),"")</f>
        <v>12</v>
      </c>
    </row>
    <row r="134" customFormat="false" ht="15" hidden="false" customHeight="false" outlineLevel="0" collapsed="false">
      <c r="A134" s="8"/>
      <c r="B134" s="9"/>
      <c r="C134" s="9"/>
      <c r="D134" s="9"/>
      <c r="E134" s="9"/>
      <c r="F134" s="9"/>
      <c r="G134" s="9"/>
      <c r="H134" s="10"/>
      <c r="I134" s="10" t="n">
        <f aca="false">IFERROR(G134*H134,0)</f>
        <v>0</v>
      </c>
      <c r="J134" s="9" t="n">
        <f aca="false">IFERROR(YEAR(A134),"")</f>
        <v>1899</v>
      </c>
      <c r="K134" s="9" t="n">
        <f aca="false">IFERROR(MONTH(A134),"")</f>
        <v>12</v>
      </c>
    </row>
    <row r="135" customFormat="false" ht="15" hidden="false" customHeight="false" outlineLevel="0" collapsed="false">
      <c r="A135" s="8"/>
      <c r="B135" s="9"/>
      <c r="C135" s="9"/>
      <c r="D135" s="9"/>
      <c r="E135" s="9"/>
      <c r="F135" s="9"/>
      <c r="G135" s="9"/>
      <c r="H135" s="10"/>
      <c r="I135" s="10" t="n">
        <f aca="false">IFERROR(G135*H135,0)</f>
        <v>0</v>
      </c>
      <c r="J135" s="9" t="n">
        <f aca="false">IFERROR(YEAR(A135),"")</f>
        <v>1899</v>
      </c>
      <c r="K135" s="9" t="n">
        <f aca="false">IFERROR(MONTH(A135),"")</f>
        <v>12</v>
      </c>
    </row>
    <row r="136" customFormat="false" ht="15" hidden="false" customHeight="false" outlineLevel="0" collapsed="false">
      <c r="A136" s="8"/>
      <c r="B136" s="9"/>
      <c r="C136" s="9"/>
      <c r="D136" s="9"/>
      <c r="E136" s="9"/>
      <c r="F136" s="9"/>
      <c r="G136" s="9"/>
      <c r="H136" s="10"/>
      <c r="I136" s="10" t="n">
        <f aca="false">IFERROR(G136*H136,0)</f>
        <v>0</v>
      </c>
      <c r="J136" s="9" t="n">
        <f aca="false">IFERROR(YEAR(A136),"")</f>
        <v>1899</v>
      </c>
      <c r="K136" s="9" t="n">
        <f aca="false">IFERROR(MONTH(A136),"")</f>
        <v>12</v>
      </c>
    </row>
    <row r="137" customFormat="false" ht="15" hidden="false" customHeight="false" outlineLevel="0" collapsed="false">
      <c r="A137" s="8"/>
      <c r="B137" s="9"/>
      <c r="C137" s="9"/>
      <c r="D137" s="9"/>
      <c r="E137" s="9"/>
      <c r="F137" s="9"/>
      <c r="G137" s="9"/>
      <c r="H137" s="10"/>
      <c r="I137" s="10" t="n">
        <f aca="false">IFERROR(G137*H137,0)</f>
        <v>0</v>
      </c>
      <c r="J137" s="9" t="n">
        <f aca="false">IFERROR(YEAR(A137),"")</f>
        <v>1899</v>
      </c>
      <c r="K137" s="9" t="n">
        <f aca="false">IFERROR(MONTH(A137),"")</f>
        <v>12</v>
      </c>
    </row>
    <row r="138" customFormat="false" ht="15" hidden="false" customHeight="false" outlineLevel="0" collapsed="false">
      <c r="A138" s="8"/>
      <c r="B138" s="9"/>
      <c r="C138" s="9"/>
      <c r="D138" s="9"/>
      <c r="E138" s="9"/>
      <c r="F138" s="9"/>
      <c r="G138" s="9"/>
      <c r="H138" s="10"/>
      <c r="I138" s="10" t="n">
        <f aca="false">IFERROR(G138*H138,0)</f>
        <v>0</v>
      </c>
      <c r="J138" s="9" t="n">
        <f aca="false">IFERROR(YEAR(A138),"")</f>
        <v>1899</v>
      </c>
      <c r="K138" s="9" t="n">
        <f aca="false">IFERROR(MONTH(A138),"")</f>
        <v>12</v>
      </c>
    </row>
    <row r="139" customFormat="false" ht="15" hidden="false" customHeight="false" outlineLevel="0" collapsed="false">
      <c r="A139" s="8"/>
      <c r="B139" s="9"/>
      <c r="C139" s="9"/>
      <c r="D139" s="9"/>
      <c r="E139" s="9"/>
      <c r="F139" s="9"/>
      <c r="G139" s="9"/>
      <c r="H139" s="10"/>
      <c r="I139" s="10" t="n">
        <f aca="false">IFERROR(G139*H139,0)</f>
        <v>0</v>
      </c>
      <c r="J139" s="9" t="n">
        <f aca="false">IFERROR(YEAR(A139),"")</f>
        <v>1899</v>
      </c>
      <c r="K139" s="9" t="n">
        <f aca="false">IFERROR(MONTH(A139),"")</f>
        <v>12</v>
      </c>
    </row>
    <row r="140" customFormat="false" ht="15" hidden="false" customHeight="false" outlineLevel="0" collapsed="false">
      <c r="A140" s="8"/>
      <c r="B140" s="9"/>
      <c r="C140" s="9"/>
      <c r="D140" s="9"/>
      <c r="E140" s="9"/>
      <c r="F140" s="9"/>
      <c r="G140" s="9"/>
      <c r="H140" s="10"/>
      <c r="I140" s="10" t="n">
        <f aca="false">IFERROR(G140*H140,0)</f>
        <v>0</v>
      </c>
      <c r="J140" s="9" t="n">
        <f aca="false">IFERROR(YEAR(A140),"")</f>
        <v>1899</v>
      </c>
      <c r="K140" s="9" t="n">
        <f aca="false">IFERROR(MONTH(A140),"")</f>
        <v>12</v>
      </c>
    </row>
    <row r="141" customFormat="false" ht="15" hidden="false" customHeight="false" outlineLevel="0" collapsed="false">
      <c r="A141" s="8"/>
      <c r="B141" s="9"/>
      <c r="C141" s="9"/>
      <c r="D141" s="9"/>
      <c r="E141" s="9"/>
      <c r="F141" s="9"/>
      <c r="G141" s="9"/>
      <c r="H141" s="10"/>
      <c r="I141" s="10" t="n">
        <f aca="false">IFERROR(G141*H141,0)</f>
        <v>0</v>
      </c>
      <c r="J141" s="9" t="n">
        <f aca="false">IFERROR(YEAR(A141),"")</f>
        <v>1899</v>
      </c>
      <c r="K141" s="9" t="n">
        <f aca="false">IFERROR(MONTH(A141),"")</f>
        <v>12</v>
      </c>
    </row>
    <row r="142" customFormat="false" ht="15" hidden="false" customHeight="false" outlineLevel="0" collapsed="false">
      <c r="A142" s="8"/>
      <c r="B142" s="9"/>
      <c r="C142" s="9"/>
      <c r="D142" s="9"/>
      <c r="E142" s="9"/>
      <c r="F142" s="9"/>
      <c r="G142" s="9"/>
      <c r="H142" s="10"/>
      <c r="I142" s="10" t="n">
        <f aca="false">IFERROR(G142*H142,0)</f>
        <v>0</v>
      </c>
      <c r="J142" s="9" t="n">
        <f aca="false">IFERROR(YEAR(A142),"")</f>
        <v>1899</v>
      </c>
      <c r="K142" s="9" t="n">
        <f aca="false">IFERROR(MONTH(A142),"")</f>
        <v>12</v>
      </c>
    </row>
    <row r="143" customFormat="false" ht="15" hidden="false" customHeight="false" outlineLevel="0" collapsed="false">
      <c r="A143" s="8"/>
      <c r="B143" s="9"/>
      <c r="C143" s="9"/>
      <c r="D143" s="9"/>
      <c r="E143" s="9"/>
      <c r="F143" s="9"/>
      <c r="G143" s="9"/>
      <c r="H143" s="10"/>
      <c r="I143" s="10" t="n">
        <f aca="false">IFERROR(G143*H143,0)</f>
        <v>0</v>
      </c>
      <c r="J143" s="9" t="n">
        <f aca="false">IFERROR(YEAR(A143),"")</f>
        <v>1899</v>
      </c>
      <c r="K143" s="9" t="n">
        <f aca="false">IFERROR(MONTH(A143),"")</f>
        <v>12</v>
      </c>
    </row>
    <row r="144" customFormat="false" ht="15" hidden="false" customHeight="false" outlineLevel="0" collapsed="false">
      <c r="A144" s="8"/>
      <c r="B144" s="9"/>
      <c r="C144" s="9"/>
      <c r="D144" s="9"/>
      <c r="E144" s="9"/>
      <c r="F144" s="9"/>
      <c r="G144" s="9"/>
      <c r="H144" s="10"/>
      <c r="I144" s="10" t="n">
        <f aca="false">IFERROR(G144*H144,0)</f>
        <v>0</v>
      </c>
      <c r="J144" s="9" t="n">
        <f aca="false">IFERROR(YEAR(A144),"")</f>
        <v>1899</v>
      </c>
      <c r="K144" s="9" t="n">
        <f aca="false">IFERROR(MONTH(A144),"")</f>
        <v>12</v>
      </c>
    </row>
    <row r="145" customFormat="false" ht="15" hidden="false" customHeight="false" outlineLevel="0" collapsed="false">
      <c r="A145" s="8"/>
      <c r="B145" s="9"/>
      <c r="C145" s="9"/>
      <c r="D145" s="9"/>
      <c r="E145" s="9"/>
      <c r="F145" s="9"/>
      <c r="G145" s="9"/>
      <c r="H145" s="10"/>
      <c r="I145" s="10" t="n">
        <f aca="false">IFERROR(G145*H145,0)</f>
        <v>0</v>
      </c>
      <c r="J145" s="9" t="n">
        <f aca="false">IFERROR(YEAR(A145),"")</f>
        <v>1899</v>
      </c>
      <c r="K145" s="9" t="n">
        <f aca="false">IFERROR(MONTH(A145),"")</f>
        <v>12</v>
      </c>
    </row>
    <row r="146" customFormat="false" ht="15" hidden="false" customHeight="false" outlineLevel="0" collapsed="false">
      <c r="A146" s="8"/>
      <c r="B146" s="9"/>
      <c r="C146" s="9"/>
      <c r="D146" s="9"/>
      <c r="E146" s="9"/>
      <c r="F146" s="9"/>
      <c r="G146" s="9"/>
      <c r="H146" s="10"/>
      <c r="I146" s="10" t="n">
        <f aca="false">IFERROR(G146*H146,0)</f>
        <v>0</v>
      </c>
      <c r="J146" s="9" t="n">
        <f aca="false">IFERROR(YEAR(A146),"")</f>
        <v>1899</v>
      </c>
      <c r="K146" s="9" t="n">
        <f aca="false">IFERROR(MONTH(A146),"")</f>
        <v>12</v>
      </c>
    </row>
    <row r="147" customFormat="false" ht="15" hidden="false" customHeight="false" outlineLevel="0" collapsed="false">
      <c r="A147" s="8"/>
      <c r="B147" s="9"/>
      <c r="C147" s="9"/>
      <c r="D147" s="9"/>
      <c r="E147" s="9"/>
      <c r="F147" s="9"/>
      <c r="G147" s="9"/>
      <c r="H147" s="10"/>
      <c r="I147" s="10" t="n">
        <f aca="false">IFERROR(G147*H147,0)</f>
        <v>0</v>
      </c>
      <c r="J147" s="9" t="n">
        <f aca="false">IFERROR(YEAR(A147),"")</f>
        <v>1899</v>
      </c>
      <c r="K147" s="9" t="n">
        <f aca="false">IFERROR(MONTH(A147),"")</f>
        <v>12</v>
      </c>
    </row>
    <row r="148" customFormat="false" ht="15" hidden="false" customHeight="false" outlineLevel="0" collapsed="false">
      <c r="A148" s="8"/>
      <c r="B148" s="9"/>
      <c r="C148" s="9"/>
      <c r="D148" s="9"/>
      <c r="E148" s="9"/>
      <c r="F148" s="9"/>
      <c r="G148" s="9"/>
      <c r="H148" s="10"/>
      <c r="I148" s="10" t="n">
        <f aca="false">IFERROR(G148*H148,0)</f>
        <v>0</v>
      </c>
      <c r="J148" s="9" t="n">
        <f aca="false">IFERROR(YEAR(A148),"")</f>
        <v>1899</v>
      </c>
      <c r="K148" s="9" t="n">
        <f aca="false">IFERROR(MONTH(A148),"")</f>
        <v>12</v>
      </c>
    </row>
    <row r="149" customFormat="false" ht="15" hidden="false" customHeight="false" outlineLevel="0" collapsed="false">
      <c r="A149" s="8"/>
      <c r="B149" s="9"/>
      <c r="C149" s="9"/>
      <c r="D149" s="9"/>
      <c r="E149" s="9"/>
      <c r="F149" s="9"/>
      <c r="G149" s="9"/>
      <c r="H149" s="10"/>
      <c r="I149" s="10" t="n">
        <f aca="false">IFERROR(G149*H149,0)</f>
        <v>0</v>
      </c>
      <c r="J149" s="9" t="n">
        <f aca="false">IFERROR(YEAR(A149),"")</f>
        <v>1899</v>
      </c>
      <c r="K149" s="9" t="n">
        <f aca="false">IFERROR(MONTH(A149),"")</f>
        <v>12</v>
      </c>
    </row>
    <row r="150" customFormat="false" ht="15" hidden="false" customHeight="false" outlineLevel="0" collapsed="false">
      <c r="A150" s="8"/>
      <c r="B150" s="9"/>
      <c r="C150" s="9"/>
      <c r="D150" s="9"/>
      <c r="E150" s="9"/>
      <c r="F150" s="9"/>
      <c r="G150" s="9"/>
      <c r="H150" s="10"/>
      <c r="I150" s="10" t="n">
        <f aca="false">IFERROR(G150*H150,0)</f>
        <v>0</v>
      </c>
      <c r="J150" s="9" t="n">
        <f aca="false">IFERROR(YEAR(A150),"")</f>
        <v>1899</v>
      </c>
      <c r="K150" s="9" t="n">
        <f aca="false">IFERROR(MONTH(A150),"")</f>
        <v>12</v>
      </c>
    </row>
    <row r="151" customFormat="false" ht="15" hidden="false" customHeight="false" outlineLevel="0" collapsed="false">
      <c r="A151" s="8"/>
      <c r="B151" s="9"/>
      <c r="C151" s="9"/>
      <c r="D151" s="9"/>
      <c r="E151" s="9"/>
      <c r="F151" s="9"/>
      <c r="G151" s="9"/>
      <c r="H151" s="10"/>
      <c r="I151" s="10" t="n">
        <f aca="false">IFERROR(G151*H151,0)</f>
        <v>0</v>
      </c>
      <c r="J151" s="9" t="n">
        <f aca="false">IFERROR(YEAR(A151),"")</f>
        <v>1899</v>
      </c>
      <c r="K151" s="9" t="n">
        <f aca="false">IFERROR(MONTH(A151),"")</f>
        <v>12</v>
      </c>
    </row>
    <row r="152" customFormat="false" ht="15" hidden="false" customHeight="false" outlineLevel="0" collapsed="false">
      <c r="A152" s="8"/>
      <c r="B152" s="9"/>
      <c r="C152" s="9"/>
      <c r="D152" s="9"/>
      <c r="E152" s="9"/>
      <c r="F152" s="9"/>
      <c r="G152" s="9"/>
      <c r="H152" s="10"/>
      <c r="I152" s="10" t="n">
        <f aca="false">IFERROR(G152*H152,0)</f>
        <v>0</v>
      </c>
      <c r="J152" s="9" t="n">
        <f aca="false">IFERROR(YEAR(A152),"")</f>
        <v>1899</v>
      </c>
      <c r="K152" s="9" t="n">
        <f aca="false">IFERROR(MONTH(A152),"")</f>
        <v>12</v>
      </c>
    </row>
  </sheetData>
  <mergeCells count="1">
    <mergeCell ref="A1:L1"/>
  </mergeCells>
  <dataValidations count="4">
    <dataValidation allowBlank="true" errorStyle="stop" operator="between" showDropDown="false" showErrorMessage="false" showInputMessage="false" sqref="D3:D152" type="list">
      <formula1>Setup!$A$4:$A$9</formula1>
      <formula2>0</formula2>
    </dataValidation>
    <dataValidation allowBlank="true" errorStyle="stop" operator="between" showDropDown="false" showErrorMessage="false" showInputMessage="false" sqref="E3:E152" type="list">
      <formula1>Setup!$B$4:$B$7</formula1>
      <formula2>0</formula2>
    </dataValidation>
    <dataValidation allowBlank="true" errorStyle="stop" operator="between" showDropDown="false" showErrorMessage="false" showInputMessage="false" sqref="F3:F152" type="list">
      <formula1>Setup!$C$4:$C$8</formula1>
      <formula2>0</formula2>
    </dataValidation>
    <dataValidation allowBlank="true" errorStyle="stop" operator="between" showDropDown="false" showErrorMessage="false" showInputMessage="false" sqref="C3:C152" type="list">
      <formula1>'Product Performance'!$A$6:$A$35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9" min="7" style="0" width="18"/>
  </cols>
  <sheetData>
    <row r="1" customFormat="false" ht="30" hidden="false" customHeight="true" outlineLevel="0" collapsed="false">
      <c r="A1" s="11" t="s">
        <v>36</v>
      </c>
      <c r="B1" s="11"/>
      <c r="C1" s="11"/>
      <c r="D1" s="11"/>
      <c r="E1" s="11"/>
      <c r="F1" s="11"/>
      <c r="G1" s="11"/>
      <c r="H1" s="11"/>
      <c r="I1" s="12"/>
    </row>
    <row r="2" customFormat="false" ht="21.75" hidden="false" customHeight="true" outlineLevel="0" collapsed="false">
      <c r="A2" s="13" t="s">
        <v>37</v>
      </c>
      <c r="B2" s="13"/>
      <c r="C2" s="13"/>
      <c r="D2" s="13"/>
      <c r="E2" s="13"/>
      <c r="F2" s="13"/>
      <c r="G2" s="13"/>
      <c r="H2" s="13"/>
      <c r="I2" s="12"/>
    </row>
    <row r="5" customFormat="false" ht="26.85" hidden="false" customHeight="false" outlineLevel="0" collapsed="false">
      <c r="A5" s="14" t="s">
        <v>29</v>
      </c>
      <c r="B5" s="14" t="s">
        <v>10</v>
      </c>
      <c r="C5" s="14" t="s">
        <v>38</v>
      </c>
      <c r="D5" s="14" t="s">
        <v>33</v>
      </c>
      <c r="E5" s="14" t="s">
        <v>39</v>
      </c>
      <c r="G5" s="5" t="s">
        <v>40</v>
      </c>
    </row>
    <row r="6" customFormat="false" ht="15" hidden="false" customHeight="false" outlineLevel="0" collapsed="false">
      <c r="A6" s="15"/>
      <c r="B6" s="15"/>
      <c r="C6" s="15" t="str">
        <f aca="false">IF(A6="","",SUMIFS('Sales Transactions'!$G$3:$G$152,'Sales Transactions'!$C$3:$C$152,A6))</f>
        <v/>
      </c>
      <c r="D6" s="16" t="str">
        <f aca="false">IF(A6="","",SUMIFS('Sales Transactions'!$I$3:$I$152,'Sales Transactions'!$C$3:$C$152,A6))</f>
        <v/>
      </c>
      <c r="E6" s="15" t="str">
        <f aca="false">IF(A6="","",RANK(D6,$D$6:$D$35)+COUNTIF($D$6:D6,D6)-1)</f>
        <v/>
      </c>
      <c r="G6" s="14" t="s">
        <v>41</v>
      </c>
      <c r="H6" s="14" t="s">
        <v>29</v>
      </c>
      <c r="I6" s="14" t="s">
        <v>42</v>
      </c>
    </row>
    <row r="7" customFormat="false" ht="15" hidden="false" customHeight="false" outlineLevel="0" collapsed="false">
      <c r="A7" s="15"/>
      <c r="B7" s="15"/>
      <c r="C7" s="15" t="str">
        <f aca="false">IF(A7="","",SUMIFS('Sales Transactions'!$G$3:$G$152,'Sales Transactions'!$C$3:$C$152,A7))</f>
        <v/>
      </c>
      <c r="D7" s="16" t="str">
        <f aca="false">IF(A7="","",SUMIFS('Sales Transactions'!$I$3:$I$152,'Sales Transactions'!$C$3:$C$152,A7))</f>
        <v/>
      </c>
      <c r="E7" s="15" t="str">
        <f aca="false">IF(A7="","",RANK(D7,$D$6:$D$35)+COUNTIF($D$6:D7,D7)-1)</f>
        <v/>
      </c>
      <c r="G7" s="6" t="n">
        <v>1</v>
      </c>
      <c r="H7" s="6" t="str">
        <f aca="false">IFERROR(INDEX('Product Performance'!$A$6:$A$35,MATCH(1,'Product Performance'!$E$6:$E$35,0)),"")</f>
        <v/>
      </c>
      <c r="I7" s="17" t="str">
        <f aca="false">IFERROR(INDEX('Product Performance'!$D$6:$D$35,MATCH(1,'Product Performance'!$E$6:$E$35,0)),"")</f>
        <v/>
      </c>
    </row>
    <row r="8" customFormat="false" ht="15" hidden="false" customHeight="false" outlineLevel="0" collapsed="false">
      <c r="A8" s="15"/>
      <c r="B8" s="15"/>
      <c r="C8" s="15" t="str">
        <f aca="false">IF(A8="","",SUMIFS('Sales Transactions'!$G$3:$G$152,'Sales Transactions'!$C$3:$C$152,A8))</f>
        <v/>
      </c>
      <c r="D8" s="16" t="str">
        <f aca="false">IF(A8="","",SUMIFS('Sales Transactions'!$I$3:$I$152,'Sales Transactions'!$C$3:$C$152,A8))</f>
        <v/>
      </c>
      <c r="E8" s="15" t="str">
        <f aca="false">IF(A8="","",RANK(D8,$D$6:$D$35)+COUNTIF($D$6:D8,D8)-1)</f>
        <v/>
      </c>
      <c r="G8" s="6" t="n">
        <v>2</v>
      </c>
      <c r="H8" s="6" t="str">
        <f aca="false">IFERROR(INDEX('Product Performance'!$A$6:$A$35,MATCH(2,'Product Performance'!$E$6:$E$35,0)),"")</f>
        <v/>
      </c>
      <c r="I8" s="17" t="str">
        <f aca="false">IFERROR(INDEX('Product Performance'!$D$6:$D$35,MATCH(2,'Product Performance'!$E$6:$E$35,0)),"")</f>
        <v/>
      </c>
    </row>
    <row r="9" customFormat="false" ht="15" hidden="false" customHeight="false" outlineLevel="0" collapsed="false">
      <c r="A9" s="15"/>
      <c r="B9" s="15"/>
      <c r="C9" s="15" t="str">
        <f aca="false">IF(A9="","",SUMIFS('Sales Transactions'!$G$3:$G$152,'Sales Transactions'!$C$3:$C$152,A9))</f>
        <v/>
      </c>
      <c r="D9" s="16" t="str">
        <f aca="false">IF(A9="","",SUMIFS('Sales Transactions'!$I$3:$I$152,'Sales Transactions'!$C$3:$C$152,A9))</f>
        <v/>
      </c>
      <c r="E9" s="15" t="str">
        <f aca="false">IF(A9="","",RANK(D9,$D$6:$D$35)+COUNTIF($D$6:D9,D9)-1)</f>
        <v/>
      </c>
      <c r="G9" s="6" t="n">
        <v>3</v>
      </c>
      <c r="H9" s="6" t="str">
        <f aca="false">IFERROR(INDEX('Product Performance'!$A$6:$A$35,MATCH(3,'Product Performance'!$E$6:$E$35,0)),"")</f>
        <v/>
      </c>
      <c r="I9" s="17" t="str">
        <f aca="false">IFERROR(INDEX('Product Performance'!$D$6:$D$35,MATCH(3,'Product Performance'!$E$6:$E$35,0)),"")</f>
        <v/>
      </c>
    </row>
    <row r="10" customFormat="false" ht="15" hidden="false" customHeight="false" outlineLevel="0" collapsed="false">
      <c r="A10" s="15"/>
      <c r="B10" s="15"/>
      <c r="C10" s="15" t="str">
        <f aca="false">IF(A10="","",SUMIFS('Sales Transactions'!$G$3:$G$152,'Sales Transactions'!$C$3:$C$152,A10))</f>
        <v/>
      </c>
      <c r="D10" s="16" t="str">
        <f aca="false">IF(A10="","",SUMIFS('Sales Transactions'!$I$3:$I$152,'Sales Transactions'!$C$3:$C$152,A10))</f>
        <v/>
      </c>
      <c r="E10" s="15" t="str">
        <f aca="false">IF(A10="","",RANK(D10,$D$6:$D$35)+COUNTIF($D$6:D10,D10)-1)</f>
        <v/>
      </c>
      <c r="G10" s="6" t="n">
        <v>4</v>
      </c>
      <c r="H10" s="6" t="str">
        <f aca="false">IFERROR(INDEX('Product Performance'!$A$6:$A$35,MATCH(4,'Product Performance'!$E$6:$E$35,0)),"")</f>
        <v/>
      </c>
      <c r="I10" s="17" t="str">
        <f aca="false">IFERROR(INDEX('Product Performance'!$D$6:$D$35,MATCH(4,'Product Performance'!$E$6:$E$35,0)),"")</f>
        <v/>
      </c>
    </row>
    <row r="11" customFormat="false" ht="15" hidden="false" customHeight="false" outlineLevel="0" collapsed="false">
      <c r="A11" s="15"/>
      <c r="B11" s="15"/>
      <c r="C11" s="15" t="str">
        <f aca="false">IF(A11="","",SUMIFS('Sales Transactions'!$G$3:$G$152,'Sales Transactions'!$C$3:$C$152,A11))</f>
        <v/>
      </c>
      <c r="D11" s="16" t="str">
        <f aca="false">IF(A11="","",SUMIFS('Sales Transactions'!$I$3:$I$152,'Sales Transactions'!$C$3:$C$152,A11))</f>
        <v/>
      </c>
      <c r="E11" s="15" t="str">
        <f aca="false">IF(A11="","",RANK(D11,$D$6:$D$35)+COUNTIF($D$6:D11,D11)-1)</f>
        <v/>
      </c>
      <c r="G11" s="6" t="n">
        <v>5</v>
      </c>
      <c r="H11" s="6" t="str">
        <f aca="false">IFERROR(INDEX('Product Performance'!$A$6:$A$35,MATCH(5,'Product Performance'!$E$6:$E$35,0)),"")</f>
        <v/>
      </c>
      <c r="I11" s="17" t="str">
        <f aca="false">IFERROR(INDEX('Product Performance'!$D$6:$D$35,MATCH(5,'Product Performance'!$E$6:$E$35,0)),"")</f>
        <v/>
      </c>
    </row>
    <row r="12" customFormat="false" ht="15" hidden="false" customHeight="false" outlineLevel="0" collapsed="false">
      <c r="A12" s="15"/>
      <c r="B12" s="15"/>
      <c r="C12" s="15" t="str">
        <f aca="false">IF(A12="","",SUMIFS('Sales Transactions'!$G$3:$G$152,'Sales Transactions'!$C$3:$C$152,A12))</f>
        <v/>
      </c>
      <c r="D12" s="16" t="str">
        <f aca="false">IF(A12="","",SUMIFS('Sales Transactions'!$I$3:$I$152,'Sales Transactions'!$C$3:$C$152,A12))</f>
        <v/>
      </c>
      <c r="E12" s="15" t="str">
        <f aca="false">IF(A12="","",RANK(D12,$D$6:$D$35)+COUNTIF($D$6:D12,D12)-1)</f>
        <v/>
      </c>
      <c r="G12" s="6" t="n">
        <v>6</v>
      </c>
      <c r="H12" s="6" t="str">
        <f aca="false">IFERROR(INDEX('Product Performance'!$A$6:$A$35,MATCH(6,'Product Performance'!$E$6:$E$35,0)),"")</f>
        <v/>
      </c>
      <c r="I12" s="17" t="str">
        <f aca="false">IFERROR(INDEX('Product Performance'!$D$6:$D$35,MATCH(6,'Product Performance'!$E$6:$E$35,0)),"")</f>
        <v/>
      </c>
    </row>
    <row r="13" customFormat="false" ht="15" hidden="false" customHeight="false" outlineLevel="0" collapsed="false">
      <c r="A13" s="15"/>
      <c r="B13" s="15"/>
      <c r="C13" s="15" t="str">
        <f aca="false">IF(A13="","",SUMIFS('Sales Transactions'!$G$3:$G$152,'Sales Transactions'!$C$3:$C$152,A13))</f>
        <v/>
      </c>
      <c r="D13" s="16" t="str">
        <f aca="false">IF(A13="","",SUMIFS('Sales Transactions'!$I$3:$I$152,'Sales Transactions'!$C$3:$C$152,A13))</f>
        <v/>
      </c>
      <c r="E13" s="15" t="str">
        <f aca="false">IF(A13="","",RANK(D13,$D$6:$D$35)+COUNTIF($D$6:D13,D13)-1)</f>
        <v/>
      </c>
      <c r="G13" s="6" t="n">
        <v>7</v>
      </c>
      <c r="H13" s="6" t="str">
        <f aca="false">IFERROR(INDEX('Product Performance'!$A$6:$A$35,MATCH(7,'Product Performance'!$E$6:$E$35,0)),"")</f>
        <v/>
      </c>
      <c r="I13" s="17" t="str">
        <f aca="false">IFERROR(INDEX('Product Performance'!$D$6:$D$35,MATCH(7,'Product Performance'!$E$6:$E$35,0)),"")</f>
        <v/>
      </c>
    </row>
    <row r="14" customFormat="false" ht="15" hidden="false" customHeight="false" outlineLevel="0" collapsed="false">
      <c r="A14" s="15"/>
      <c r="B14" s="15"/>
      <c r="C14" s="15" t="str">
        <f aca="false">IF(A14="","",SUMIFS('Sales Transactions'!$G$3:$G$152,'Sales Transactions'!$C$3:$C$152,A14))</f>
        <v/>
      </c>
      <c r="D14" s="16" t="str">
        <f aca="false">IF(A14="","",SUMIFS('Sales Transactions'!$I$3:$I$152,'Sales Transactions'!$C$3:$C$152,A14))</f>
        <v/>
      </c>
      <c r="E14" s="15" t="str">
        <f aca="false">IF(A14="","",RANK(D14,$D$6:$D$35)+COUNTIF($D$6:D14,D14)-1)</f>
        <v/>
      </c>
      <c r="G14" s="6" t="n">
        <v>8</v>
      </c>
      <c r="H14" s="6" t="str">
        <f aca="false">IFERROR(INDEX('Product Performance'!$A$6:$A$35,MATCH(8,'Product Performance'!$E$6:$E$35,0)),"")</f>
        <v/>
      </c>
      <c r="I14" s="17" t="str">
        <f aca="false">IFERROR(INDEX('Product Performance'!$D$6:$D$35,MATCH(8,'Product Performance'!$E$6:$E$35,0)),"")</f>
        <v/>
      </c>
    </row>
    <row r="15" customFormat="false" ht="15" hidden="false" customHeight="false" outlineLevel="0" collapsed="false">
      <c r="A15" s="15"/>
      <c r="B15" s="15"/>
      <c r="C15" s="15" t="str">
        <f aca="false">IF(A15="","",SUMIFS('Sales Transactions'!$G$3:$G$152,'Sales Transactions'!$C$3:$C$152,A15))</f>
        <v/>
      </c>
      <c r="D15" s="16" t="str">
        <f aca="false">IF(A15="","",SUMIFS('Sales Transactions'!$I$3:$I$152,'Sales Transactions'!$C$3:$C$152,A15))</f>
        <v/>
      </c>
      <c r="E15" s="15" t="str">
        <f aca="false">IF(A15="","",RANK(D15,$D$6:$D$35)+COUNTIF($D$6:D15,D15)-1)</f>
        <v/>
      </c>
      <c r="G15" s="6" t="n">
        <v>9</v>
      </c>
      <c r="H15" s="6" t="str">
        <f aca="false">IFERROR(INDEX('Product Performance'!$A$6:$A$35,MATCH(9,'Product Performance'!$E$6:$E$35,0)),"")</f>
        <v/>
      </c>
      <c r="I15" s="17" t="str">
        <f aca="false">IFERROR(INDEX('Product Performance'!$D$6:$D$35,MATCH(9,'Product Performance'!$E$6:$E$35,0)),"")</f>
        <v/>
      </c>
    </row>
    <row r="16" customFormat="false" ht="15" hidden="false" customHeight="false" outlineLevel="0" collapsed="false">
      <c r="A16" s="15"/>
      <c r="B16" s="15"/>
      <c r="C16" s="15" t="str">
        <f aca="false">IF(A16="","",SUMIFS('Sales Transactions'!$G$3:$G$152,'Sales Transactions'!$C$3:$C$152,A16))</f>
        <v/>
      </c>
      <c r="D16" s="16" t="str">
        <f aca="false">IF(A16="","",SUMIFS('Sales Transactions'!$I$3:$I$152,'Sales Transactions'!$C$3:$C$152,A16))</f>
        <v/>
      </c>
      <c r="E16" s="15" t="str">
        <f aca="false">IF(A16="","",RANK(D16,$D$6:$D$35)+COUNTIF($D$6:D16,D16)-1)</f>
        <v/>
      </c>
      <c r="G16" s="6" t="n">
        <v>10</v>
      </c>
      <c r="H16" s="6" t="str">
        <f aca="false">IFERROR(INDEX('Product Performance'!$A$6:$A$35,MATCH(10,'Product Performance'!$E$6:$E$35,0)),"")</f>
        <v/>
      </c>
      <c r="I16" s="17" t="str">
        <f aca="false">IFERROR(INDEX('Product Performance'!$D$6:$D$35,MATCH(10,'Product Performance'!$E$6:$E$35,0)),"")</f>
        <v/>
      </c>
    </row>
    <row r="17" customFormat="false" ht="15" hidden="false" customHeight="false" outlineLevel="0" collapsed="false">
      <c r="A17" s="15"/>
      <c r="B17" s="15"/>
      <c r="C17" s="15" t="str">
        <f aca="false">IF(A17="","",SUMIFS('Sales Transactions'!$G$3:$G$152,'Sales Transactions'!$C$3:$C$152,A17))</f>
        <v/>
      </c>
      <c r="D17" s="16" t="str">
        <f aca="false">IF(A17="","",SUMIFS('Sales Transactions'!$I$3:$I$152,'Sales Transactions'!$C$3:$C$152,A17))</f>
        <v/>
      </c>
      <c r="E17" s="15" t="str">
        <f aca="false">IF(A17="","",RANK(D17,$D$6:$D$35)+COUNTIF($D$6:D17,D17)-1)</f>
        <v/>
      </c>
    </row>
    <row r="18" customFormat="false" ht="15" hidden="false" customHeight="false" outlineLevel="0" collapsed="false">
      <c r="A18" s="15"/>
      <c r="B18" s="15"/>
      <c r="C18" s="15" t="str">
        <f aca="false">IF(A18="","",SUMIFS('Sales Transactions'!$G$3:$G$152,'Sales Transactions'!$C$3:$C$152,A18))</f>
        <v/>
      </c>
      <c r="D18" s="16" t="str">
        <f aca="false">IF(A18="","",SUMIFS('Sales Transactions'!$I$3:$I$152,'Sales Transactions'!$C$3:$C$152,A18))</f>
        <v/>
      </c>
      <c r="E18" s="15" t="str">
        <f aca="false">IF(A18="","",RANK(D18,$D$6:$D$35)+COUNTIF($D$6:D18,D18)-1)</f>
        <v/>
      </c>
    </row>
    <row r="19" customFormat="false" ht="15" hidden="false" customHeight="false" outlineLevel="0" collapsed="false">
      <c r="A19" s="15"/>
      <c r="B19" s="15"/>
      <c r="C19" s="15" t="str">
        <f aca="false">IF(A19="","",SUMIFS('Sales Transactions'!$G$3:$G$152,'Sales Transactions'!$C$3:$C$152,A19))</f>
        <v/>
      </c>
      <c r="D19" s="16" t="str">
        <f aca="false">IF(A19="","",SUMIFS('Sales Transactions'!$I$3:$I$152,'Sales Transactions'!$C$3:$C$152,A19))</f>
        <v/>
      </c>
      <c r="E19" s="15" t="str">
        <f aca="false">IF(A19="","",RANK(D19,$D$6:$D$35)+COUNTIF($D$6:D19,D19)-1)</f>
        <v/>
      </c>
    </row>
    <row r="20" customFormat="false" ht="15" hidden="false" customHeight="false" outlineLevel="0" collapsed="false">
      <c r="A20" s="15"/>
      <c r="B20" s="15"/>
      <c r="C20" s="15" t="str">
        <f aca="false">IF(A20="","",SUMIFS('Sales Transactions'!$G$3:$G$152,'Sales Transactions'!$C$3:$C$152,A20))</f>
        <v/>
      </c>
      <c r="D20" s="16" t="str">
        <f aca="false">IF(A20="","",SUMIFS('Sales Transactions'!$I$3:$I$152,'Sales Transactions'!$C$3:$C$152,A20))</f>
        <v/>
      </c>
      <c r="E20" s="15" t="str">
        <f aca="false">IF(A20="","",RANK(D20,$D$6:$D$35)+COUNTIF($D$6:D20,D20)-1)</f>
        <v/>
      </c>
    </row>
    <row r="21" customFormat="false" ht="15" hidden="false" customHeight="false" outlineLevel="0" collapsed="false">
      <c r="A21" s="15"/>
      <c r="B21" s="15"/>
      <c r="C21" s="15" t="str">
        <f aca="false">IF(A21="","",SUMIFS('Sales Transactions'!$G$3:$G$152,'Sales Transactions'!$C$3:$C$152,A21))</f>
        <v/>
      </c>
      <c r="D21" s="16" t="str">
        <f aca="false">IF(A21="","",SUMIFS('Sales Transactions'!$I$3:$I$152,'Sales Transactions'!$C$3:$C$152,A21))</f>
        <v/>
      </c>
      <c r="E21" s="15" t="str">
        <f aca="false">IF(A21="","",RANK(D21,$D$6:$D$35)+COUNTIF($D$6:D21,D21)-1)</f>
        <v/>
      </c>
    </row>
    <row r="22" customFormat="false" ht="15" hidden="false" customHeight="false" outlineLevel="0" collapsed="false">
      <c r="A22" s="15"/>
      <c r="B22" s="15"/>
      <c r="C22" s="15" t="str">
        <f aca="false">IF(A22="","",SUMIFS('Sales Transactions'!$G$3:$G$152,'Sales Transactions'!$C$3:$C$152,A22))</f>
        <v/>
      </c>
      <c r="D22" s="16" t="str">
        <f aca="false">IF(A22="","",SUMIFS('Sales Transactions'!$I$3:$I$152,'Sales Transactions'!$C$3:$C$152,A22))</f>
        <v/>
      </c>
      <c r="E22" s="15" t="str">
        <f aca="false">IF(A22="","",RANK(D22,$D$6:$D$35)+COUNTIF($D$6:D22,D22)-1)</f>
        <v/>
      </c>
    </row>
    <row r="23" customFormat="false" ht="15" hidden="false" customHeight="false" outlineLevel="0" collapsed="false">
      <c r="A23" s="15"/>
      <c r="B23" s="15"/>
      <c r="C23" s="15" t="str">
        <f aca="false">IF(A23="","",SUMIFS('Sales Transactions'!$G$3:$G$152,'Sales Transactions'!$C$3:$C$152,A23))</f>
        <v/>
      </c>
      <c r="D23" s="16" t="str">
        <f aca="false">IF(A23="","",SUMIFS('Sales Transactions'!$I$3:$I$152,'Sales Transactions'!$C$3:$C$152,A23))</f>
        <v/>
      </c>
      <c r="E23" s="15" t="str">
        <f aca="false">IF(A23="","",RANK(D23,$D$6:$D$35)+COUNTIF($D$6:D23,D23)-1)</f>
        <v/>
      </c>
    </row>
    <row r="24" customFormat="false" ht="15" hidden="false" customHeight="false" outlineLevel="0" collapsed="false">
      <c r="A24" s="15"/>
      <c r="B24" s="15"/>
      <c r="C24" s="15" t="str">
        <f aca="false">IF(A24="","",SUMIFS('Sales Transactions'!$G$3:$G$152,'Sales Transactions'!$C$3:$C$152,A24))</f>
        <v/>
      </c>
      <c r="D24" s="16" t="str">
        <f aca="false">IF(A24="","",SUMIFS('Sales Transactions'!$I$3:$I$152,'Sales Transactions'!$C$3:$C$152,A24))</f>
        <v/>
      </c>
      <c r="E24" s="15" t="str">
        <f aca="false">IF(A24="","",RANK(D24,$D$6:$D$35)+COUNTIF($D$6:D24,D24)-1)</f>
        <v/>
      </c>
    </row>
    <row r="25" customFormat="false" ht="15" hidden="false" customHeight="false" outlineLevel="0" collapsed="false">
      <c r="A25" s="15"/>
      <c r="B25" s="15"/>
      <c r="C25" s="15" t="str">
        <f aca="false">IF(A25="","",SUMIFS('Sales Transactions'!$G$3:$G$152,'Sales Transactions'!$C$3:$C$152,A25))</f>
        <v/>
      </c>
      <c r="D25" s="16" t="str">
        <f aca="false">IF(A25="","",SUMIFS('Sales Transactions'!$I$3:$I$152,'Sales Transactions'!$C$3:$C$152,A25))</f>
        <v/>
      </c>
      <c r="E25" s="15" t="str">
        <f aca="false">IF(A25="","",RANK(D25,$D$6:$D$35)+COUNTIF($D$6:D25,D25)-1)</f>
        <v/>
      </c>
    </row>
    <row r="26" customFormat="false" ht="15" hidden="false" customHeight="false" outlineLevel="0" collapsed="false">
      <c r="A26" s="15"/>
      <c r="B26" s="15"/>
      <c r="C26" s="15" t="str">
        <f aca="false">IF(A26="","",SUMIFS('Sales Transactions'!$G$3:$G$152,'Sales Transactions'!$C$3:$C$152,A26))</f>
        <v/>
      </c>
      <c r="D26" s="16" t="str">
        <f aca="false">IF(A26="","",SUMIFS('Sales Transactions'!$I$3:$I$152,'Sales Transactions'!$C$3:$C$152,A26))</f>
        <v/>
      </c>
      <c r="E26" s="15" t="str">
        <f aca="false">IF(A26="","",RANK(D26,$D$6:$D$35)+COUNTIF($D$6:D26,D26)-1)</f>
        <v/>
      </c>
    </row>
    <row r="27" customFormat="false" ht="15" hidden="false" customHeight="false" outlineLevel="0" collapsed="false">
      <c r="A27" s="15"/>
      <c r="B27" s="15"/>
      <c r="C27" s="15" t="str">
        <f aca="false">IF(A27="","",SUMIFS('Sales Transactions'!$G$3:$G$152,'Sales Transactions'!$C$3:$C$152,A27))</f>
        <v/>
      </c>
      <c r="D27" s="16" t="str">
        <f aca="false">IF(A27="","",SUMIFS('Sales Transactions'!$I$3:$I$152,'Sales Transactions'!$C$3:$C$152,A27))</f>
        <v/>
      </c>
      <c r="E27" s="15" t="str">
        <f aca="false">IF(A27="","",RANK(D27,$D$6:$D$35)+COUNTIF($D$6:D27,D27)-1)</f>
        <v/>
      </c>
    </row>
    <row r="28" customFormat="false" ht="15" hidden="false" customHeight="false" outlineLevel="0" collapsed="false">
      <c r="A28" s="15"/>
      <c r="B28" s="15"/>
      <c r="C28" s="15" t="str">
        <f aca="false">IF(A28="","",SUMIFS('Sales Transactions'!$G$3:$G$152,'Sales Transactions'!$C$3:$C$152,A28))</f>
        <v/>
      </c>
      <c r="D28" s="16" t="str">
        <f aca="false">IF(A28="","",SUMIFS('Sales Transactions'!$I$3:$I$152,'Sales Transactions'!$C$3:$C$152,A28))</f>
        <v/>
      </c>
      <c r="E28" s="15" t="str">
        <f aca="false">IF(A28="","",RANK(D28,$D$6:$D$35)+COUNTIF($D$6:D28,D28)-1)</f>
        <v/>
      </c>
    </row>
    <row r="29" customFormat="false" ht="15" hidden="false" customHeight="false" outlineLevel="0" collapsed="false">
      <c r="A29" s="15"/>
      <c r="B29" s="15"/>
      <c r="C29" s="15" t="str">
        <f aca="false">IF(A29="","",SUMIFS('Sales Transactions'!$G$3:$G$152,'Sales Transactions'!$C$3:$C$152,A29))</f>
        <v/>
      </c>
      <c r="D29" s="16" t="str">
        <f aca="false">IF(A29="","",SUMIFS('Sales Transactions'!$I$3:$I$152,'Sales Transactions'!$C$3:$C$152,A29))</f>
        <v/>
      </c>
      <c r="E29" s="15" t="str">
        <f aca="false">IF(A29="","",RANK(D29,$D$6:$D$35)+COUNTIF($D$6:D29,D29)-1)</f>
        <v/>
      </c>
    </row>
    <row r="30" customFormat="false" ht="15" hidden="false" customHeight="false" outlineLevel="0" collapsed="false">
      <c r="A30" s="15"/>
      <c r="B30" s="15"/>
      <c r="C30" s="15" t="str">
        <f aca="false">IF(A30="","",SUMIFS('Sales Transactions'!$G$3:$G$152,'Sales Transactions'!$C$3:$C$152,A30))</f>
        <v/>
      </c>
      <c r="D30" s="16" t="str">
        <f aca="false">IF(A30="","",SUMIFS('Sales Transactions'!$I$3:$I$152,'Sales Transactions'!$C$3:$C$152,A30))</f>
        <v/>
      </c>
      <c r="E30" s="15" t="str">
        <f aca="false">IF(A30="","",RANK(D30,$D$6:$D$35)+COUNTIF($D$6:D30,D30)-1)</f>
        <v/>
      </c>
    </row>
    <row r="31" customFormat="false" ht="15" hidden="false" customHeight="false" outlineLevel="0" collapsed="false">
      <c r="A31" s="15"/>
      <c r="B31" s="15"/>
      <c r="C31" s="15" t="str">
        <f aca="false">IF(A31="","",SUMIFS('Sales Transactions'!$G$3:$G$152,'Sales Transactions'!$C$3:$C$152,A31))</f>
        <v/>
      </c>
      <c r="D31" s="16" t="str">
        <f aca="false">IF(A31="","",SUMIFS('Sales Transactions'!$I$3:$I$152,'Sales Transactions'!$C$3:$C$152,A31))</f>
        <v/>
      </c>
      <c r="E31" s="15" t="str">
        <f aca="false">IF(A31="","",RANK(D31,$D$6:$D$35)+COUNTIF($D$6:D31,D31)-1)</f>
        <v/>
      </c>
    </row>
    <row r="32" customFormat="false" ht="15" hidden="false" customHeight="false" outlineLevel="0" collapsed="false">
      <c r="A32" s="15"/>
      <c r="B32" s="15"/>
      <c r="C32" s="15" t="str">
        <f aca="false">IF(A32="","",SUMIFS('Sales Transactions'!$G$3:$G$152,'Sales Transactions'!$C$3:$C$152,A32))</f>
        <v/>
      </c>
      <c r="D32" s="16" t="str">
        <f aca="false">IF(A32="","",SUMIFS('Sales Transactions'!$I$3:$I$152,'Sales Transactions'!$C$3:$C$152,A32))</f>
        <v/>
      </c>
      <c r="E32" s="15" t="str">
        <f aca="false">IF(A32="","",RANK(D32,$D$6:$D$35)+COUNTIF($D$6:D32,D32)-1)</f>
        <v/>
      </c>
    </row>
    <row r="33" customFormat="false" ht="15" hidden="false" customHeight="false" outlineLevel="0" collapsed="false">
      <c r="A33" s="15"/>
      <c r="B33" s="15"/>
      <c r="C33" s="15" t="str">
        <f aca="false">IF(A33="","",SUMIFS('Sales Transactions'!$G$3:$G$152,'Sales Transactions'!$C$3:$C$152,A33))</f>
        <v/>
      </c>
      <c r="D33" s="16" t="str">
        <f aca="false">IF(A33="","",SUMIFS('Sales Transactions'!$I$3:$I$152,'Sales Transactions'!$C$3:$C$152,A33))</f>
        <v/>
      </c>
      <c r="E33" s="15" t="str">
        <f aca="false">IF(A33="","",RANK(D33,$D$6:$D$35)+COUNTIF($D$6:D33,D33)-1)</f>
        <v/>
      </c>
    </row>
    <row r="34" customFormat="false" ht="15" hidden="false" customHeight="false" outlineLevel="0" collapsed="false">
      <c r="A34" s="15"/>
      <c r="B34" s="15"/>
      <c r="C34" s="15" t="str">
        <f aca="false">IF(A34="","",SUMIFS('Sales Transactions'!$G$3:$G$152,'Sales Transactions'!$C$3:$C$152,A34))</f>
        <v/>
      </c>
      <c r="D34" s="16" t="str">
        <f aca="false">IF(A34="","",SUMIFS('Sales Transactions'!$I$3:$I$152,'Sales Transactions'!$C$3:$C$152,A34))</f>
        <v/>
      </c>
      <c r="E34" s="15" t="str">
        <f aca="false">IF(A34="","",RANK(D34,$D$6:$D$35)+COUNTIF($D$6:D34,D34)-1)</f>
        <v/>
      </c>
    </row>
    <row r="35" customFormat="false" ht="15" hidden="false" customHeight="false" outlineLevel="0" collapsed="false">
      <c r="A35" s="15"/>
      <c r="B35" s="15"/>
      <c r="C35" s="15" t="str">
        <f aca="false">IF(A35="","",SUMIFS('Sales Transactions'!$G$3:$G$152,'Sales Transactions'!$C$3:$C$152,A35))</f>
        <v/>
      </c>
      <c r="D35" s="16" t="str">
        <f aca="false">IF(A35="","",SUMIFS('Sales Transactions'!$I$3:$I$152,'Sales Transactions'!$C$3:$C$152,A35))</f>
        <v/>
      </c>
      <c r="E35" s="15" t="str">
        <f aca="false">IF(A35="","",RANK(D35,$D$6:$D$35)+COUNTIF($D$6:D35,D35)-1)</f>
        <v/>
      </c>
    </row>
  </sheetData>
  <mergeCells count="2">
    <mergeCell ref="A1:H1"/>
    <mergeCell ref="A2:H2"/>
  </mergeCells>
  <conditionalFormatting sqref="D6:D35">
    <cfRule type="dataBar" priority="2">
      <dataBar showValue="1" minLength="10" maxLength="90">
        <cfvo type="min" val="0"/>
        <cfvo type="max" val="0"/>
        <color rgb="FF4C7A47"/>
      </dataBar>
      <extLst>
        <ext xmlns:x14="http://schemas.microsoft.com/office/spreadsheetml/2009/9/main" uri="{B025F937-C7B1-47D3-B67F-A62EFF666E3E}">
          <x14:id>{71104985-249A-41B4-A94F-BCCFC0895591}</x14:id>
        </ext>
      </extLst>
    </cfRule>
  </conditionalFormatting>
  <dataValidations count="1">
    <dataValidation allowBlank="true" errorStyle="stop" operator="between" showDropDown="false" showErrorMessage="false" showInputMessage="false" sqref="B6:B35" type="list">
      <formula1>Setup!$A$4:$A$9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104985-249A-41B4-A94F-BCCFC0895591}">
            <x14:dataBar minLength="10" maxLength="90" axisPosition="none" gradient="true">
              <x14:cfvo type="min"/>
              <x14:cfvo type="max"/>
              <x14:negativeFillColor rgb="FF4C7A47"/>
              <x14:axisColor rgb="FF000000"/>
            </x14:dataBar>
          </x14:cfRule>
          <xm:sqref>D6:D35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4" min="3" style="0" width="18"/>
  </cols>
  <sheetData>
    <row r="1" customFormat="false" ht="30" hidden="false" customHeight="true" outlineLevel="0" collapsed="false">
      <c r="A1" s="11" t="s">
        <v>43</v>
      </c>
      <c r="B1" s="11"/>
      <c r="C1" s="11"/>
      <c r="D1" s="11"/>
      <c r="E1" s="11"/>
      <c r="F1" s="11"/>
      <c r="G1" s="11"/>
      <c r="H1" s="11"/>
    </row>
    <row r="2" customFormat="false" ht="21.75" hidden="false" customHeight="true" outlineLevel="0" collapsed="false">
      <c r="A2" s="13" t="s">
        <v>37</v>
      </c>
      <c r="B2" s="13"/>
      <c r="C2" s="13"/>
      <c r="D2" s="13"/>
      <c r="E2" s="13"/>
      <c r="F2" s="13"/>
      <c r="G2" s="13"/>
      <c r="H2" s="13"/>
    </row>
    <row r="3" customFormat="false" ht="15" hidden="false" customHeight="false" outlineLevel="0" collapsed="false">
      <c r="A3" s="5" t="s">
        <v>34</v>
      </c>
      <c r="B3" s="18" t="n">
        <v>2026</v>
      </c>
    </row>
    <row r="5" customFormat="false" ht="24" hidden="false" customHeight="true" outlineLevel="0" collapsed="false">
      <c r="A5" s="19" t="s">
        <v>44</v>
      </c>
      <c r="B5" s="19" t="s">
        <v>45</v>
      </c>
      <c r="C5" s="19" t="s">
        <v>46</v>
      </c>
      <c r="D5" s="19" t="s">
        <v>47</v>
      </c>
      <c r="E5" s="20"/>
      <c r="F5" s="20"/>
      <c r="G5" s="20"/>
      <c r="H5" s="20"/>
    </row>
    <row r="6" customFormat="false" ht="30" hidden="false" customHeight="true" outlineLevel="0" collapsed="false">
      <c r="A6" s="21" t="n">
        <f aca="false">SUMIFS('Sales Transactions'!$I$3:$I$152,'Sales Transactions'!$J$3:$J$152,$B$3)</f>
        <v>0</v>
      </c>
      <c r="B6" s="22" t="n">
        <f aca="false">COUNTIFS('Sales Transactions'!$J$3:$J$152,$B$3,'Sales Transactions'!$I$3:$I$152,"&gt;0")</f>
        <v>0</v>
      </c>
      <c r="C6" s="21" t="n">
        <f aca="false">IFERROR(A6/B6,0)</f>
        <v>0</v>
      </c>
      <c r="D6" s="22" t="n">
        <f aca="false">SUMIFS('Sales Transactions'!$G$3:$G$152,'Sales Transactions'!$J$3:$J$152,$B$3)</f>
        <v>0</v>
      </c>
      <c r="E6" s="20"/>
      <c r="F6" s="20"/>
      <c r="G6" s="20"/>
      <c r="H6" s="20"/>
    </row>
    <row r="9" customFormat="false" ht="15" hidden="false" customHeight="false" outlineLevel="0" collapsed="false">
      <c r="A9" s="5" t="s">
        <v>48</v>
      </c>
    </row>
    <row r="10" customFormat="false" ht="15" hidden="false" customHeight="false" outlineLevel="0" collapsed="false">
      <c r="A10" s="14" t="s">
        <v>35</v>
      </c>
      <c r="B10" s="14" t="s">
        <v>42</v>
      </c>
    </row>
    <row r="11" customFormat="false" ht="15" hidden="false" customHeight="false" outlineLevel="0" collapsed="false">
      <c r="A11" s="6" t="s">
        <v>49</v>
      </c>
      <c r="B11" s="17" t="n">
        <f aca="false">SUMIFS('Sales Transactions'!$I$3:$I$152,'Sales Transactions'!$J$3:$J$152,$B$3,'Sales Transactions'!$K$3:$K$152,1)</f>
        <v>0</v>
      </c>
    </row>
    <row r="12" customFormat="false" ht="15" hidden="false" customHeight="false" outlineLevel="0" collapsed="false">
      <c r="A12" s="6" t="s">
        <v>50</v>
      </c>
      <c r="B12" s="17" t="n">
        <f aca="false">SUMIFS('Sales Transactions'!$I$3:$I$152,'Sales Transactions'!$J$3:$J$152,$B$3,'Sales Transactions'!$K$3:$K$152,2)</f>
        <v>0</v>
      </c>
    </row>
    <row r="13" customFormat="false" ht="15" hidden="false" customHeight="false" outlineLevel="0" collapsed="false">
      <c r="A13" s="6" t="s">
        <v>51</v>
      </c>
      <c r="B13" s="17" t="n">
        <f aca="false">SUMIFS('Sales Transactions'!$I$3:$I$152,'Sales Transactions'!$J$3:$J$152,$B$3,'Sales Transactions'!$K$3:$K$152,3)</f>
        <v>0</v>
      </c>
    </row>
    <row r="14" customFormat="false" ht="15" hidden="false" customHeight="false" outlineLevel="0" collapsed="false">
      <c r="A14" s="6" t="s">
        <v>52</v>
      </c>
      <c r="B14" s="17" t="n">
        <f aca="false">SUMIFS('Sales Transactions'!$I$3:$I$152,'Sales Transactions'!$J$3:$J$152,$B$3,'Sales Transactions'!$K$3:$K$152,4)</f>
        <v>0</v>
      </c>
    </row>
    <row r="15" customFormat="false" ht="15" hidden="false" customHeight="false" outlineLevel="0" collapsed="false">
      <c r="A15" s="6" t="s">
        <v>53</v>
      </c>
      <c r="B15" s="17" t="n">
        <f aca="false">SUMIFS('Sales Transactions'!$I$3:$I$152,'Sales Transactions'!$J$3:$J$152,$B$3,'Sales Transactions'!$K$3:$K$152,5)</f>
        <v>0</v>
      </c>
    </row>
    <row r="16" customFormat="false" ht="15" hidden="false" customHeight="false" outlineLevel="0" collapsed="false">
      <c r="A16" s="6" t="s">
        <v>54</v>
      </c>
      <c r="B16" s="17" t="n">
        <f aca="false">SUMIFS('Sales Transactions'!$I$3:$I$152,'Sales Transactions'!$J$3:$J$152,$B$3,'Sales Transactions'!$K$3:$K$152,6)</f>
        <v>0</v>
      </c>
    </row>
    <row r="17" customFormat="false" ht="15" hidden="false" customHeight="false" outlineLevel="0" collapsed="false">
      <c r="A17" s="6" t="s">
        <v>55</v>
      </c>
      <c r="B17" s="17" t="n">
        <f aca="false">SUMIFS('Sales Transactions'!$I$3:$I$152,'Sales Transactions'!$J$3:$J$152,$B$3,'Sales Transactions'!$K$3:$K$152,7)</f>
        <v>0</v>
      </c>
    </row>
    <row r="18" customFormat="false" ht="15" hidden="false" customHeight="false" outlineLevel="0" collapsed="false">
      <c r="A18" s="6" t="s">
        <v>56</v>
      </c>
      <c r="B18" s="17" t="n">
        <f aca="false">SUMIFS('Sales Transactions'!$I$3:$I$152,'Sales Transactions'!$J$3:$J$152,$B$3,'Sales Transactions'!$K$3:$K$152,8)</f>
        <v>0</v>
      </c>
    </row>
    <row r="19" customFormat="false" ht="15" hidden="false" customHeight="false" outlineLevel="0" collapsed="false">
      <c r="A19" s="6" t="s">
        <v>57</v>
      </c>
      <c r="B19" s="17" t="n">
        <f aca="false">SUMIFS('Sales Transactions'!$I$3:$I$152,'Sales Transactions'!$J$3:$J$152,$B$3,'Sales Transactions'!$K$3:$K$152,9)</f>
        <v>0</v>
      </c>
    </row>
    <row r="20" customFormat="false" ht="15" hidden="false" customHeight="false" outlineLevel="0" collapsed="false">
      <c r="A20" s="6" t="s">
        <v>58</v>
      </c>
      <c r="B20" s="17" t="n">
        <f aca="false">SUMIFS('Sales Transactions'!$I$3:$I$152,'Sales Transactions'!$J$3:$J$152,$B$3,'Sales Transactions'!$K$3:$K$152,10)</f>
        <v>0</v>
      </c>
    </row>
    <row r="21" customFormat="false" ht="15" hidden="false" customHeight="false" outlineLevel="0" collapsed="false">
      <c r="A21" s="6" t="s">
        <v>59</v>
      </c>
      <c r="B21" s="17" t="n">
        <f aca="false">SUMIFS('Sales Transactions'!$I$3:$I$152,'Sales Transactions'!$J$3:$J$152,$B$3,'Sales Transactions'!$K$3:$K$152,11)</f>
        <v>0</v>
      </c>
    </row>
    <row r="22" customFormat="false" ht="15" hidden="false" customHeight="false" outlineLevel="0" collapsed="false">
      <c r="A22" s="6" t="s">
        <v>60</v>
      </c>
      <c r="B22" s="17" t="n">
        <f aca="false">SUMIFS('Sales Transactions'!$I$3:$I$152,'Sales Transactions'!$J$3:$J$152,$B$3,'Sales Transactions'!$K$3:$K$152,12)</f>
        <v>0</v>
      </c>
    </row>
    <row r="24" customFormat="false" ht="15" hidden="false" customHeight="false" outlineLevel="0" collapsed="false">
      <c r="A24" s="5" t="s">
        <v>61</v>
      </c>
    </row>
    <row r="25" customFormat="false" ht="15" hidden="false" customHeight="false" outlineLevel="0" collapsed="false">
      <c r="A25" s="14" t="s">
        <v>10</v>
      </c>
      <c r="B25" s="14" t="s">
        <v>42</v>
      </c>
    </row>
    <row r="26" customFormat="false" ht="15" hidden="false" customHeight="false" outlineLevel="0" collapsed="false">
      <c r="A26" s="6" t="s">
        <v>13</v>
      </c>
      <c r="B26" s="17" t="n">
        <f aca="false">SUMIFS('Sales Transactions'!$I$3:$I$152,'Sales Transactions'!$D$3:$D$152,"Apparel",'Sales Transactions'!$J$3:$J$152,$B$3)</f>
        <v>0</v>
      </c>
    </row>
    <row r="27" customFormat="false" ht="15" hidden="false" customHeight="false" outlineLevel="0" collapsed="false">
      <c r="A27" s="6" t="s">
        <v>16</v>
      </c>
      <c r="B27" s="17" t="n">
        <f aca="false">SUMIFS('Sales Transactions'!$I$3:$I$152,'Sales Transactions'!$D$3:$D$152,"Accessories",'Sales Transactions'!$J$3:$J$152,$B$3)</f>
        <v>0</v>
      </c>
    </row>
    <row r="28" customFormat="false" ht="15" hidden="false" customHeight="false" outlineLevel="0" collapsed="false">
      <c r="A28" s="6" t="s">
        <v>19</v>
      </c>
      <c r="B28" s="17" t="n">
        <f aca="false">SUMIFS('Sales Transactions'!$I$3:$I$152,'Sales Transactions'!$D$3:$D$152,"Home Goods",'Sales Transactions'!$J$3:$J$152,$B$3)</f>
        <v>0</v>
      </c>
    </row>
    <row r="29" customFormat="false" ht="15" hidden="false" customHeight="false" outlineLevel="0" collapsed="false">
      <c r="A29" s="6" t="s">
        <v>22</v>
      </c>
      <c r="B29" s="17" t="n">
        <f aca="false">SUMIFS('Sales Transactions'!$I$3:$I$152,'Sales Transactions'!$D$3:$D$152,"Digital",'Sales Transactions'!$J$3:$J$152,$B$3)</f>
        <v>0</v>
      </c>
    </row>
    <row r="30" customFormat="false" ht="15" hidden="false" customHeight="false" outlineLevel="0" collapsed="false">
      <c r="A30" s="6" t="s">
        <v>25</v>
      </c>
      <c r="B30" s="17" t="n">
        <f aca="false">SUMIFS('Sales Transactions'!$I$3:$I$152,'Sales Transactions'!$D$3:$D$152,"Custom / Made-to-Order",'Sales Transactions'!$J$3:$J$152,$B$3)</f>
        <v>0</v>
      </c>
    </row>
    <row r="31" customFormat="false" ht="15" hidden="false" customHeight="false" outlineLevel="0" collapsed="false">
      <c r="A31" s="6" t="s">
        <v>23</v>
      </c>
      <c r="B31" s="17" t="n">
        <f aca="false">SUMIFS('Sales Transactions'!$I$3:$I$152,'Sales Transactions'!$D$3:$D$152,"Other",'Sales Transactions'!$J$3:$J$152,$B$3)</f>
        <v>0</v>
      </c>
    </row>
    <row r="34" customFormat="false" ht="15" hidden="false" customHeight="false" outlineLevel="0" collapsed="false">
      <c r="A34" s="5" t="s">
        <v>62</v>
      </c>
    </row>
    <row r="35" customFormat="false" ht="15" hidden="false" customHeight="false" outlineLevel="0" collapsed="false">
      <c r="A35" s="14" t="s">
        <v>11</v>
      </c>
      <c r="B35" s="14" t="s">
        <v>42</v>
      </c>
    </row>
    <row r="36" customFormat="false" ht="15" hidden="false" customHeight="false" outlineLevel="0" collapsed="false">
      <c r="A36" s="6" t="s">
        <v>14</v>
      </c>
      <c r="B36" s="17" t="n">
        <f aca="false">SUMIFS('Sales Transactions'!$I$3:$I$152,'Sales Transactions'!$E$3:$E$152,"North America",'Sales Transactions'!$J$3:$J$152,$B$3)</f>
        <v>0</v>
      </c>
    </row>
    <row r="37" customFormat="false" ht="15" hidden="false" customHeight="false" outlineLevel="0" collapsed="false">
      <c r="A37" s="6" t="s">
        <v>17</v>
      </c>
      <c r="B37" s="17" t="n">
        <f aca="false">SUMIFS('Sales Transactions'!$I$3:$I$152,'Sales Transactions'!$E$3:$E$152,"Europe",'Sales Transactions'!$J$3:$J$152,$B$3)</f>
        <v>0</v>
      </c>
    </row>
    <row r="38" customFormat="false" ht="15" hidden="false" customHeight="false" outlineLevel="0" collapsed="false">
      <c r="A38" s="6" t="s">
        <v>20</v>
      </c>
      <c r="B38" s="17" t="n">
        <f aca="false">SUMIFS('Sales Transactions'!$I$3:$I$152,'Sales Transactions'!$E$3:$E$152,"Asia Pacific",'Sales Transactions'!$J$3:$J$152,$B$3)</f>
        <v>0</v>
      </c>
    </row>
    <row r="39" customFormat="false" ht="15" hidden="false" customHeight="false" outlineLevel="0" collapsed="false">
      <c r="A39" s="6" t="s">
        <v>23</v>
      </c>
      <c r="B39" s="17" t="n">
        <f aca="false">SUMIFS('Sales Transactions'!$I$3:$I$152,'Sales Transactions'!$E$3:$E$152,"Other",'Sales Transactions'!$J$3:$J$152,$B$3)</f>
        <v>0</v>
      </c>
    </row>
    <row r="44" customFormat="false" ht="15" hidden="false" customHeight="false" outlineLevel="0" collapsed="false">
      <c r="A44" s="5" t="s">
        <v>63</v>
      </c>
    </row>
    <row r="45" customFormat="false" ht="15" hidden="false" customHeight="false" outlineLevel="0" collapsed="false">
      <c r="A45" s="14" t="s">
        <v>30</v>
      </c>
      <c r="B45" s="14" t="s">
        <v>42</v>
      </c>
    </row>
    <row r="46" customFormat="false" ht="15" hidden="false" customHeight="false" outlineLevel="0" collapsed="false">
      <c r="A46" s="6" t="s">
        <v>15</v>
      </c>
      <c r="B46" s="17" t="n">
        <f aca="false">SUMIFS('Sales Transactions'!$I$3:$I$152,'Sales Transactions'!$F$3:$F$152,"Etsy",'Sales Transactions'!$J$3:$J$152,$B$3)</f>
        <v>0</v>
      </c>
    </row>
    <row r="47" customFormat="false" ht="15" hidden="false" customHeight="false" outlineLevel="0" collapsed="false">
      <c r="A47" s="6" t="s">
        <v>18</v>
      </c>
      <c r="B47" s="17" t="n">
        <f aca="false">SUMIFS('Sales Transactions'!$I$3:$I$152,'Sales Transactions'!$F$3:$F$152,"Website",'Sales Transactions'!$J$3:$J$152,$B$3)</f>
        <v>0</v>
      </c>
    </row>
    <row r="48" customFormat="false" ht="15" hidden="false" customHeight="false" outlineLevel="0" collapsed="false">
      <c r="A48" s="6" t="s">
        <v>21</v>
      </c>
      <c r="B48" s="17" t="n">
        <f aca="false">SUMIFS('Sales Transactions'!$I$3:$I$152,'Sales Transactions'!$F$3:$F$152,"Amazon",'Sales Transactions'!$J$3:$J$152,$B$3)</f>
        <v>0</v>
      </c>
    </row>
    <row r="49" customFormat="false" ht="15" hidden="false" customHeight="false" outlineLevel="0" collapsed="false">
      <c r="A49" s="6" t="s">
        <v>24</v>
      </c>
      <c r="B49" s="17" t="n">
        <f aca="false">SUMIFS('Sales Transactions'!$I$3:$I$152,'Sales Transactions'!$F$3:$F$152,"Instagram",'Sales Transactions'!$J$3:$J$152,$B$3)</f>
        <v>0</v>
      </c>
    </row>
    <row r="50" customFormat="false" ht="15" hidden="false" customHeight="false" outlineLevel="0" collapsed="false">
      <c r="A50" s="6" t="s">
        <v>23</v>
      </c>
      <c r="B50" s="17" t="n">
        <f aca="false">SUMIFS('Sales Transactions'!$I$3:$I$152,'Sales Transactions'!$F$3:$F$152,"Other",'Sales Transactions'!$J$3:$J$152,$B$3)</f>
        <v>0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</cols>
  <sheetData>
    <row r="1" customFormat="false" ht="16.15" hidden="false" customHeight="false" outlineLevel="0" collapsed="false">
      <c r="A1" s="1" t="s">
        <v>64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7" t="s">
        <v>65</v>
      </c>
      <c r="B3" s="7" t="s">
        <v>66</v>
      </c>
    </row>
    <row r="4" customFormat="false" ht="25.5" hidden="false" customHeight="true" outlineLevel="0" collapsed="false">
      <c r="A4" s="6" t="s">
        <v>67</v>
      </c>
      <c r="B4" s="23" t="s">
        <v>68</v>
      </c>
    </row>
    <row r="5" customFormat="false" ht="25.5" hidden="false" customHeight="true" outlineLevel="0" collapsed="false">
      <c r="A5" s="6" t="s">
        <v>69</v>
      </c>
      <c r="B5" s="23" t="s">
        <v>70</v>
      </c>
    </row>
    <row r="6" customFormat="false" ht="25.5" hidden="false" customHeight="true" outlineLevel="0" collapsed="false">
      <c r="A6" s="6" t="s">
        <v>71</v>
      </c>
      <c r="B6" s="23" t="s">
        <v>72</v>
      </c>
    </row>
    <row r="7" customFormat="false" ht="25.5" hidden="false" customHeight="true" outlineLevel="0" collapsed="false">
      <c r="A7" s="6" t="s">
        <v>73</v>
      </c>
      <c r="B7" s="23" t="s">
        <v>74</v>
      </c>
    </row>
    <row r="8" customFormat="false" ht="25.5" hidden="false" customHeight="true" outlineLevel="0" collapsed="false">
      <c r="A8" s="6" t="s">
        <v>75</v>
      </c>
      <c r="B8" s="23" t="s">
        <v>76</v>
      </c>
    </row>
    <row r="10" customFormat="false" ht="15" hidden="false" customHeight="false" outlineLevel="0" collapsed="false">
      <c r="A10" s="3" t="s">
        <v>7</v>
      </c>
      <c r="B10" s="3"/>
    </row>
  </sheetData>
  <mergeCells count="2">
    <mergeCell ref="A1:H1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2026-08-16T03:21:47Z</dcterms:created>
  <dc:creator>openpyxl</dc:creator>
  <dc:description/>
  <dc:language>en-US</dc:language>
  <cp:lastModifiedBy/>
  <dcterms:modified xsi:type="dcterms:W3CDTF">2026-08-16T03:22:11Z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