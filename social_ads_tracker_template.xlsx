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up" sheetId="2" state="visible" r:id="rId4"/>
    <sheet name="Campaign Data" sheetId="3" state="visible" r:id="rId5"/>
    <sheet name="Dashboard" sheetId="4" state="visible" r:id="rId6"/>
    <sheet name="Notes &amp; Leg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<sst xmlns="http://schemas.openxmlformats.org/spreadsheetml/2006/main" count="82" uniqueCount="68">
  <si>
    <t xml:space="preserve">How to Use This Social Ads Performance Tracker</t>
  </si>
  <si>
    <t xml:space="preserve">1. Open 'Setup' to confirm which ad platforms you run.</t>
  </si>
  <si>
    <t xml:space="preserve">2. Log each day's (or each campaign's) numbers in 'Campaign Data' — Platform, Campaign, Spend, Impressions, Clicks, Conversions, and Revenue. CTR, CPC, Conversion Rate, and ROAS calculate automatically.</t>
  </si>
  <si>
    <t xml:space="preserve">3. Change the Year/Month selector at the top of 'Dashboard' to see that period's totals and charts update automatically.</t>
  </si>
  <si>
    <t xml:space="preserve">4. Rows with ROAS below 1.0x (losing money) are highlighted red-to-green by a color scale so underperforming campaigns are easy to spot.</t>
  </si>
  <si>
    <t xml:space="preserve">5. Only edit yellow (input) or white cells. Green-header and formula cells update automatically — do not overwrite them.</t>
  </si>
  <si>
    <t xml:space="preserve">6. To log more rows than pre-formatted, select the last formatted row and copy it downward; formulas will carry over.</t>
  </si>
  <si>
    <t xml:space="preserve">Prepared for {{CLIENT_NAME}} ({{NICHE}}). Amounts are in {{CURRENCY}}.</t>
  </si>
  <si>
    <t xml:space="preserve">{{CLIENT_NAME}} — Setup</t>
  </si>
  <si>
    <t xml:space="preserve">{{NICHE}} — configure once, everything else updates automatically</t>
  </si>
  <si>
    <t xml:space="preserve">Ad Platform</t>
  </si>
  <si>
    <t xml:space="preserve">Meta (Facebook/Instagram)</t>
  </si>
  <si>
    <t xml:space="preserve">TikTok</t>
  </si>
  <si>
    <t xml:space="preserve">Google</t>
  </si>
  <si>
    <t xml:space="preserve">Pinterest</t>
  </si>
  <si>
    <t xml:space="preserve">Etsy Ads</t>
  </si>
  <si>
    <t xml:space="preserve">Other</t>
  </si>
  <si>
    <t xml:space="preserve">{{CLIENT_NAME}} — Campaign Data</t>
  </si>
  <si>
    <t xml:space="preserve">Date</t>
  </si>
  <si>
    <t xml:space="preserve">Platform</t>
  </si>
  <si>
    <t xml:space="preserve">Campaign</t>
  </si>
  <si>
    <t xml:space="preserve">Spend ({{CURRENCY}})</t>
  </si>
  <si>
    <t xml:space="preserve">Impressions</t>
  </si>
  <si>
    <t xml:space="preserve">Clicks</t>
  </si>
  <si>
    <t xml:space="preserve">Conversions</t>
  </si>
  <si>
    <t xml:space="preserve">Revenue ({{CURRENCY}})</t>
  </si>
  <si>
    <t xml:space="preserve">CTR</t>
  </si>
  <si>
    <t xml:space="preserve">CPC ({{CURRENCY}})</t>
  </si>
  <si>
    <t xml:space="preserve">Conv. Rate</t>
  </si>
  <si>
    <t xml:space="preserve">ROAS</t>
  </si>
  <si>
    <t xml:space="preserve">Year</t>
  </si>
  <si>
    <t xml:space="preserve">Month</t>
  </si>
  <si>
    <t xml:space="preserve">{{CLIENT_NAME}} — Dashboard</t>
  </si>
  <si>
    <t xml:space="preserve">{{NICHE}} — figures in {{CURRENCY}}</t>
  </si>
  <si>
    <t xml:space="preserve">Total Spend ({{CURRENCY}})</t>
  </si>
  <si>
    <t xml:space="preserve">Total Revenue ({{CURRENCY}})</t>
  </si>
  <si>
    <t xml:space="preserve">Overall ROAS</t>
  </si>
  <si>
    <t xml:space="preserve">Avg CTR</t>
  </si>
  <si>
    <t xml:space="preserve">Avg CPC ({{CURRENCY}})</t>
  </si>
  <si>
    <t xml:space="preserve">Spend by Platform — Selected Month</t>
  </si>
  <si>
    <t xml:space="preserve">Spend</t>
  </si>
  <si>
    <t xml:space="preserve">Revenue</t>
  </si>
  <si>
    <t xml:space="preserve">Spend vs Revenue — Selected 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</si>
  <si>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</si>
  <si>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</si>
  <si>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</si>
  <si>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</si>
  <si>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</si>
  <si>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</si>
  <si>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</si>
  <si>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</si>
  <si>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</si>
  <si>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</si>
  <si>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</si>
  <si>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</si>
  <si>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Notes &amp; Legend</t>
  </si>
  <si>
    <t xml:space="preserve">Color / Style</t>
  </si>
  <si>
    <t xml:space="preserve">Meaning</t>
  </si>
  <si>
    <t xml:space="preserve">Yellow cells</t>
  </si>
  <si>
    <t xml:space="preserve">Input cells — change these (Year, Month).</t>
  </si>
  <si>
    <t xml:space="preserve">White cells with borders</t>
  </si>
  <si>
    <t xml:space="preserve">Data entry rows in Campaign Data.</t>
  </si>
  <si>
    <t xml:space="preserve">Green header cells</t>
  </si>
  <si>
    <t xml:space="preserve">Column headers — do not edit.</t>
  </si>
  <si>
    <t xml:space="preserve">Black formula cells</t>
  </si>
  <si>
    <t xml:space="preserve">Calculated automatically — do not overwrite (CTR, CPC, Conv. Rate, ROAS, etc.).</t>
  </si>
  <si>
    <t xml:space="preserve">Red-yellow-green shading (Campaign Data, ROAS column)</t>
  </si>
  <si>
    <t xml:space="preserve">Red = losing money (ROAS below 1.0x), green = strongly profitable (ROAS 3.0x+).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</si>
</sst>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#,##0.00"/>
    <numFmt numFmtId="167" formatCode="0.0%"/>
    <numFmt numFmtId="168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23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2F52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233"/>
        <bgColor rgb="FF555555"/>
      </patternFill>
    </fill>
    <fill>
      <patternFill patternType="solid">
        <fgColor rgb="FFFFFDE7"/>
        <bgColor rgb="FFFFFFFF"/>
      </patternFill>
    </fill>
    <fill>
      <patternFill patternType="solid">
        <fgColor rgb="FF4C7A47"/>
        <bgColor rgb="FF555555"/>
      </patternFill>
    </fill>
    <fill>
      <patternFill patternType="solid">
        <fgColor rgb="FFEFF5EC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C7A47"/>
      <rgbColor rgb="FF800080"/>
      <rgbColor rgb="FF4F81BD"/>
      <rgbColor rgb="FFCCCCCC"/>
      <rgbColor rgb="FF878787"/>
      <rgbColor rgb="FF93A9CE"/>
      <rgbColor rgb="FFAB4744"/>
      <rgbColor rgb="FFFFFDE7"/>
      <rgbColor rgb="FFEFF5EC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8AA64F"/>
      <rgbColor rgb="FFFFCC00"/>
      <rgbColor rgb="FFFF9900"/>
      <rgbColor rgb="FFFF6600"/>
      <rgbColor rgb="FF725990"/>
      <rgbColor rgb="FF888888"/>
      <rgbColor rgb="FF003366"/>
      <rgbColor rgb="FF4299B0"/>
      <rgbColor rgb="FF003300"/>
      <rgbColor rgb="FF333300"/>
      <rgbColor rgb="FF993300"/>
      <rgbColor rgb="FFC0504D"/>
      <rgbColor rgb="FF555555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Dashboard!$A$11:$A$16</c:f>
              <c:strCache>
                <c:ptCount val="6"/>
                <c:pt idx="0">
                  <c:v>Meta (Facebook/Instagram)</c:v>
                </c:pt>
                <c:pt idx="1">
                  <c:v>TikTok</c:v>
                </c:pt>
                <c:pt idx="2">
                  <c:v>Google</c:v>
                </c:pt>
                <c:pt idx="3">
                  <c:v>Pinterest</c:v>
                </c:pt>
                <c:pt idx="4">
                  <c:v>Etsy Ads</c:v>
                </c:pt>
                <c:pt idx="5">
                  <c:v>Other</c:v>
                </c:pt>
              </c:strCache>
            </c:strRef>
          </c:cat>
          <c:val>
            <c:numRef>
              <c:f>Dashboard!$B$10:$B$16</c:f>
              <c:numCache>
                <c:formatCode>#,##0.00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ROAS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Dashboard!$A$11:$A$16</c:f>
              <c:strCache>
                <c:ptCount val="6"/>
                <c:pt idx="0">
                  <c:v>Meta (Facebook/Instagram)</c:v>
                </c:pt>
                <c:pt idx="1">
                  <c:v>TikTok</c:v>
                </c:pt>
                <c:pt idx="2">
                  <c:v>Google</c:v>
                </c:pt>
                <c:pt idx="3">
                  <c:v>Pinterest</c:v>
                </c:pt>
                <c:pt idx="4">
                  <c:v>Etsy Ads</c:v>
                </c:pt>
                <c:pt idx="5">
                  <c:v>Other</c:v>
                </c:pt>
              </c:strCache>
            </c:strRef>
          </c:cat>
          <c:val>
            <c:numRef>
              <c:f>Dashboard!$D$11:$D$16</c:f>
              <c:numCache>
                <c:formatCode>0.00\x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56727319"/>
        <c:axId val="28553355"/>
      </c:barChart>
      <c:catAx>
        <c:axId val="5672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53355"/>
        <c:crosses val="autoZero"/>
        <c:auto val="1"/>
        <c:lblAlgn val="ctr"/>
        <c:lblOffset val="100"/>
        <c:noMultiLvlLbl val="0"/>
      </c:catAx>
      <c:valAx>
        <c:axId val="28553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273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vs 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Dashboard!$B$22:$B$33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Dashboard!$C$22:$C$33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5967627"/>
        <c:axId val="43626230"/>
      </c:barChart>
      <c:catAx>
        <c:axId val="659676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26230"/>
        <c:crosses val="autoZero"/>
        <c:auto val="1"/>
        <c:lblAlgn val="ctr"/>
        <c:lblOffset val="100"/>
        <c:noMultiLvlLbl val="0"/>
      </c:catAx>
      <c:valAx>
        <c:axId val="43626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676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176040</xdr:rowOff>
    </xdr:from>
    <xdr:to>
      <xdr:col>9</xdr:col>
      <xdr:colOff>564480</xdr:colOff>
      <xdr:row>22</xdr:row>
      <xdr:rowOff>18000</xdr:rowOff>
    </xdr:to>
    <xdr:graphicFrame>
      <xdr:nvGraphicFramePr>
        <xdr:cNvPr id="0" name="Chart 1"/>
        <xdr:cNvGraphicFramePr/>
      </xdr:nvGraphicFramePr>
      <xdr:xfrm>
        <a:off x="7201080" y="180036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7</xdr:row>
      <xdr:rowOff>176040</xdr:rowOff>
    </xdr:from>
    <xdr:to>
      <xdr:col>17</xdr:col>
      <xdr:colOff>525240</xdr:colOff>
      <xdr:row>22</xdr:row>
      <xdr:rowOff>18000</xdr:rowOff>
    </xdr:to>
    <xdr:graphicFrame>
      <xdr:nvGraphicFramePr>
        <xdr:cNvPr id="1" name="Chart 2"/>
        <xdr:cNvGraphicFramePr/>
      </xdr:nvGraphicFramePr>
      <xdr:xfrm>
        <a:off x="12512520" y="18003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18</xdr:row>
      <xdr:rowOff>175680</xdr:rowOff>
    </xdr:from>
    <xdr:to>
      <xdr:col>11</xdr:col>
      <xdr:colOff>55080</xdr:colOff>
      <xdr:row>33</xdr:row>
      <xdr:rowOff>18000</xdr:rowOff>
    </xdr:to>
    <xdr:graphicFrame>
      <xdr:nvGraphicFramePr>
        <xdr:cNvPr id="2" name="Chart 3"/>
        <xdr:cNvGraphicFramePr/>
      </xdr:nvGraphicFramePr>
      <xdr:xfrm>
        <a:off x="5689440" y="3895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27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27.75" hidden="false" customHeight="true" outlineLevel="0" collapsed="false">
      <c r="A5" s="2" t="s">
        <v>2</v>
      </c>
      <c r="B5" s="2"/>
      <c r="C5" s="2"/>
      <c r="D5" s="2"/>
      <c r="E5" s="2"/>
      <c r="F5" s="2"/>
      <c r="G5" s="2"/>
      <c r="H5" s="2"/>
    </row>
    <row r="6" customFormat="false" ht="27.75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27.75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27.75" hidden="false" customHeight="tru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27.75" hidden="false" customHeight="tru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  <c r="H11" s="3"/>
    </row>
  </sheetData>
  <mergeCells count="8">
    <mergeCell ref="A1:H1"/>
    <mergeCell ref="A4:H4"/>
    <mergeCell ref="A5:H5"/>
    <mergeCell ref="A6:H6"/>
    <mergeCell ref="A7:H7"/>
    <mergeCell ref="A8:H8"/>
    <mergeCell ref="A9:H9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</cols>
  <sheetData>
    <row r="1" customFormat="false" ht="16.15" hidden="false" customHeight="false" outlineLevel="0" collapsed="false">
      <c r="A1" s="1" t="s">
        <v>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9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10</v>
      </c>
    </row>
    <row r="4" customFormat="false" ht="15" hidden="false" customHeight="false" outlineLevel="0" collapsed="false">
      <c r="A4" s="6" t="s">
        <v>11</v>
      </c>
    </row>
    <row r="5" customFormat="false" ht="15" hidden="false" customHeight="false" outlineLevel="0" collapsed="false">
      <c r="A5" s="6" t="s">
        <v>12</v>
      </c>
    </row>
    <row r="6" customFormat="false" ht="15" hidden="false" customHeight="false" outlineLevel="0" collapsed="false">
      <c r="A6" s="6" t="s">
        <v>13</v>
      </c>
    </row>
    <row r="7" customFormat="false" ht="15" hidden="false" customHeight="false" outlineLevel="0" collapsed="false">
      <c r="A7" s="6" t="s">
        <v>14</v>
      </c>
    </row>
    <row r="8" customFormat="false" ht="15" hidden="false" customHeight="false" outlineLevel="0" collapsed="false">
      <c r="A8" s="6" t="s">
        <v>15</v>
      </c>
    </row>
    <row r="9" customFormat="false" ht="15" hidden="false" customHeight="false" outlineLevel="0" collapsed="false">
      <c r="A9" s="6" t="s">
        <v>16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4" min="13" style="0" width="8"/>
  </cols>
  <sheetData>
    <row r="1" customFormat="false" ht="16.15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9.55" hidden="false" customHeight="false" outlineLevel="0" collapsed="false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 t="s">
        <v>30</v>
      </c>
      <c r="N2" s="7" t="s">
        <v>31</v>
      </c>
    </row>
    <row r="3" customFormat="false" ht="15" hidden="false" customHeight="false" outlineLevel="0" collapsed="false">
      <c r="A3" s="8"/>
      <c r="B3" s="9"/>
      <c r="C3" s="9"/>
      <c r="D3" s="10"/>
      <c r="E3" s="9"/>
      <c r="F3" s="9"/>
      <c r="G3" s="9"/>
      <c r="H3" s="10"/>
      <c r="I3" s="11" t="n">
        <f aca="false">IFERROR(F3/E3,0)</f>
        <v>0</v>
      </c>
      <c r="J3" s="10" t="n">
        <f aca="false">IFERROR(D3/F3,0)</f>
        <v>0</v>
      </c>
      <c r="K3" s="11" t="n">
        <f aca="false">IFERROR(G3/F3,0)</f>
        <v>0</v>
      </c>
      <c r="L3" s="12" t="n">
        <f aca="false">IFERROR(H3/D3,0)</f>
        <v>0</v>
      </c>
      <c r="M3" s="9" t="n">
        <f aca="false">IFERROR(YEAR(A3),"")</f>
        <v>1899</v>
      </c>
      <c r="N3" s="9" t="n">
        <f aca="false">IFERROR(MONTH(A3),"")</f>
        <v>12</v>
      </c>
    </row>
    <row r="4" customFormat="false" ht="15" hidden="false" customHeight="false" outlineLevel="0" collapsed="false">
      <c r="A4" s="8"/>
      <c r="B4" s="9"/>
      <c r="C4" s="9"/>
      <c r="D4" s="10"/>
      <c r="E4" s="9"/>
      <c r="F4" s="9"/>
      <c r="G4" s="9"/>
      <c r="H4" s="10"/>
      <c r="I4" s="11" t="n">
        <f aca="false">IFERROR(F4/E4,0)</f>
        <v>0</v>
      </c>
      <c r="J4" s="10" t="n">
        <f aca="false">IFERROR(D4/F4,0)</f>
        <v>0</v>
      </c>
      <c r="K4" s="11" t="n">
        <f aca="false">IFERROR(G4/F4,0)</f>
        <v>0</v>
      </c>
      <c r="L4" s="12" t="n">
        <f aca="false">IFERROR(H4/D4,0)</f>
        <v>0</v>
      </c>
      <c r="M4" s="9" t="n">
        <f aca="false">IFERROR(YEAR(A4),"")</f>
        <v>1899</v>
      </c>
      <c r="N4" s="9" t="n">
        <f aca="false">IFERROR(MONTH(A4),"")</f>
        <v>12</v>
      </c>
    </row>
    <row r="5" customFormat="false" ht="15" hidden="false" customHeight="false" outlineLevel="0" collapsed="false">
      <c r="A5" s="8"/>
      <c r="B5" s="9"/>
      <c r="C5" s="9"/>
      <c r="D5" s="10"/>
      <c r="E5" s="9"/>
      <c r="F5" s="9"/>
      <c r="G5" s="9"/>
      <c r="H5" s="10"/>
      <c r="I5" s="11" t="n">
        <f aca="false">IFERROR(F5/E5,0)</f>
        <v>0</v>
      </c>
      <c r="J5" s="10" t="n">
        <f aca="false">IFERROR(D5/F5,0)</f>
        <v>0</v>
      </c>
      <c r="K5" s="11" t="n">
        <f aca="false">IFERROR(G5/F5,0)</f>
        <v>0</v>
      </c>
      <c r="L5" s="12" t="n">
        <f aca="false">IFERROR(H5/D5,0)</f>
        <v>0</v>
      </c>
      <c r="M5" s="9" t="n">
        <f aca="false">IFERROR(YEAR(A5),"")</f>
        <v>1899</v>
      </c>
      <c r="N5" s="9" t="n">
        <f aca="false">IFERROR(MONTH(A5),"")</f>
        <v>12</v>
      </c>
    </row>
    <row r="6" customFormat="false" ht="15" hidden="false" customHeight="false" outlineLevel="0" collapsed="false">
      <c r="A6" s="8"/>
      <c r="B6" s="9"/>
      <c r="C6" s="9"/>
      <c r="D6" s="10"/>
      <c r="E6" s="9"/>
      <c r="F6" s="9"/>
      <c r="G6" s="9"/>
      <c r="H6" s="10"/>
      <c r="I6" s="11" t="n">
        <f aca="false">IFERROR(F6/E6,0)</f>
        <v>0</v>
      </c>
      <c r="J6" s="10" t="n">
        <f aca="false">IFERROR(D6/F6,0)</f>
        <v>0</v>
      </c>
      <c r="K6" s="11" t="n">
        <f aca="false">IFERROR(G6/F6,0)</f>
        <v>0</v>
      </c>
      <c r="L6" s="12" t="n">
        <f aca="false">IFERROR(H6/D6,0)</f>
        <v>0</v>
      </c>
      <c r="M6" s="9" t="n">
        <f aca="false">IFERROR(YEAR(A6),"")</f>
        <v>1899</v>
      </c>
      <c r="N6" s="9" t="n">
        <f aca="false">IFERROR(MONTH(A6),"")</f>
        <v>12</v>
      </c>
    </row>
    <row r="7" customFormat="false" ht="15" hidden="false" customHeight="false" outlineLevel="0" collapsed="false">
      <c r="A7" s="8"/>
      <c r="B7" s="9"/>
      <c r="C7" s="9"/>
      <c r="D7" s="10"/>
      <c r="E7" s="9"/>
      <c r="F7" s="9"/>
      <c r="G7" s="9"/>
      <c r="H7" s="10"/>
      <c r="I7" s="11" t="n">
        <f aca="false">IFERROR(F7/E7,0)</f>
        <v>0</v>
      </c>
      <c r="J7" s="10" t="n">
        <f aca="false">IFERROR(D7/F7,0)</f>
        <v>0</v>
      </c>
      <c r="K7" s="11" t="n">
        <f aca="false">IFERROR(G7/F7,0)</f>
        <v>0</v>
      </c>
      <c r="L7" s="12" t="n">
        <f aca="false">IFERROR(H7/D7,0)</f>
        <v>0</v>
      </c>
      <c r="M7" s="9" t="n">
        <f aca="false">IFERROR(YEAR(A7),"")</f>
        <v>1899</v>
      </c>
      <c r="N7" s="9" t="n">
        <f aca="false">IFERROR(MONTH(A7),"")</f>
        <v>12</v>
      </c>
    </row>
    <row r="8" customFormat="false" ht="15" hidden="false" customHeight="false" outlineLevel="0" collapsed="false">
      <c r="A8" s="8"/>
      <c r="B8" s="9"/>
      <c r="C8" s="9"/>
      <c r="D8" s="10"/>
      <c r="E8" s="9"/>
      <c r="F8" s="9"/>
      <c r="G8" s="9"/>
      <c r="H8" s="10"/>
      <c r="I8" s="11" t="n">
        <f aca="false">IFERROR(F8/E8,0)</f>
        <v>0</v>
      </c>
      <c r="J8" s="10" t="n">
        <f aca="false">IFERROR(D8/F8,0)</f>
        <v>0</v>
      </c>
      <c r="K8" s="11" t="n">
        <f aca="false">IFERROR(G8/F8,0)</f>
        <v>0</v>
      </c>
      <c r="L8" s="12" t="n">
        <f aca="false">IFERROR(H8/D8,0)</f>
        <v>0</v>
      </c>
      <c r="M8" s="9" t="n">
        <f aca="false">IFERROR(YEAR(A8),"")</f>
        <v>1899</v>
      </c>
      <c r="N8" s="9" t="n">
        <f aca="false">IFERROR(MONTH(A8),"")</f>
        <v>12</v>
      </c>
    </row>
    <row r="9" customFormat="false" ht="15" hidden="false" customHeight="false" outlineLevel="0" collapsed="false">
      <c r="A9" s="8"/>
      <c r="B9" s="9"/>
      <c r="C9" s="9"/>
      <c r="D9" s="10"/>
      <c r="E9" s="9"/>
      <c r="F9" s="9"/>
      <c r="G9" s="9"/>
      <c r="H9" s="10"/>
      <c r="I9" s="11" t="n">
        <f aca="false">IFERROR(F9/E9,0)</f>
        <v>0</v>
      </c>
      <c r="J9" s="10" t="n">
        <f aca="false">IFERROR(D9/F9,0)</f>
        <v>0</v>
      </c>
      <c r="K9" s="11" t="n">
        <f aca="false">IFERROR(G9/F9,0)</f>
        <v>0</v>
      </c>
      <c r="L9" s="12" t="n">
        <f aca="false">IFERROR(H9/D9,0)</f>
        <v>0</v>
      </c>
      <c r="M9" s="9" t="n">
        <f aca="false">IFERROR(YEAR(A9),"")</f>
        <v>1899</v>
      </c>
      <c r="N9" s="9" t="n">
        <f aca="false">IFERROR(MONTH(A9),"")</f>
        <v>12</v>
      </c>
    </row>
    <row r="10" customFormat="false" ht="15" hidden="false" customHeight="false" outlineLevel="0" collapsed="false">
      <c r="A10" s="8"/>
      <c r="B10" s="9"/>
      <c r="C10" s="9"/>
      <c r="D10" s="10"/>
      <c r="E10" s="9"/>
      <c r="F10" s="9"/>
      <c r="G10" s="9"/>
      <c r="H10" s="10"/>
      <c r="I10" s="11" t="n">
        <f aca="false">IFERROR(F10/E10,0)</f>
        <v>0</v>
      </c>
      <c r="J10" s="10" t="n">
        <f aca="false">IFERROR(D10/F10,0)</f>
        <v>0</v>
      </c>
      <c r="K10" s="11" t="n">
        <f aca="false">IFERROR(G10/F10,0)</f>
        <v>0</v>
      </c>
      <c r="L10" s="12" t="n">
        <f aca="false">IFERROR(H10/D10,0)</f>
        <v>0</v>
      </c>
      <c r="M10" s="9" t="n">
        <f aca="false">IFERROR(YEAR(A10),"")</f>
        <v>1899</v>
      </c>
      <c r="N10" s="9" t="n">
        <f aca="false">IFERROR(MONTH(A10),"")</f>
        <v>12</v>
      </c>
    </row>
    <row r="11" customFormat="false" ht="15" hidden="false" customHeight="false" outlineLevel="0" collapsed="false">
      <c r="A11" s="8"/>
      <c r="B11" s="9"/>
      <c r="C11" s="9"/>
      <c r="D11" s="10"/>
      <c r="E11" s="9"/>
      <c r="F11" s="9"/>
      <c r="G11" s="9"/>
      <c r="H11" s="10"/>
      <c r="I11" s="11" t="n">
        <f aca="false">IFERROR(F11/E11,0)</f>
        <v>0</v>
      </c>
      <c r="J11" s="10" t="n">
        <f aca="false">IFERROR(D11/F11,0)</f>
        <v>0</v>
      </c>
      <c r="K11" s="11" t="n">
        <f aca="false">IFERROR(G11/F11,0)</f>
        <v>0</v>
      </c>
      <c r="L11" s="12" t="n">
        <f aca="false">IFERROR(H11/D11,0)</f>
        <v>0</v>
      </c>
      <c r="M11" s="9" t="n">
        <f aca="false">IFERROR(YEAR(A11),"")</f>
        <v>1899</v>
      </c>
      <c r="N11" s="9" t="n">
        <f aca="false">IFERROR(MONTH(A11),"")</f>
        <v>12</v>
      </c>
    </row>
    <row r="12" customFormat="false" ht="15" hidden="false" customHeight="false" outlineLevel="0" collapsed="false">
      <c r="A12" s="8"/>
      <c r="B12" s="9"/>
      <c r="C12" s="9"/>
      <c r="D12" s="10"/>
      <c r="E12" s="9"/>
      <c r="F12" s="9"/>
      <c r="G12" s="9"/>
      <c r="H12" s="10"/>
      <c r="I12" s="11" t="n">
        <f aca="false">IFERROR(F12/E12,0)</f>
        <v>0</v>
      </c>
      <c r="J12" s="10" t="n">
        <f aca="false">IFERROR(D12/F12,0)</f>
        <v>0</v>
      </c>
      <c r="K12" s="11" t="n">
        <f aca="false">IFERROR(G12/F12,0)</f>
        <v>0</v>
      </c>
      <c r="L12" s="12" t="n">
        <f aca="false">IFERROR(H12/D12,0)</f>
        <v>0</v>
      </c>
      <c r="M12" s="9" t="n">
        <f aca="false">IFERROR(YEAR(A12),"")</f>
        <v>1899</v>
      </c>
      <c r="N12" s="9" t="n">
        <f aca="false">IFERROR(MONTH(A12),"")</f>
        <v>12</v>
      </c>
    </row>
    <row r="13" customFormat="false" ht="15" hidden="false" customHeight="false" outlineLevel="0" collapsed="false">
      <c r="A13" s="8"/>
      <c r="B13" s="9"/>
      <c r="C13" s="9"/>
      <c r="D13" s="10"/>
      <c r="E13" s="9"/>
      <c r="F13" s="9"/>
      <c r="G13" s="9"/>
      <c r="H13" s="10"/>
      <c r="I13" s="11" t="n">
        <f aca="false">IFERROR(F13/E13,0)</f>
        <v>0</v>
      </c>
      <c r="J13" s="10" t="n">
        <f aca="false">IFERROR(D13/F13,0)</f>
        <v>0</v>
      </c>
      <c r="K13" s="11" t="n">
        <f aca="false">IFERROR(G13/F13,0)</f>
        <v>0</v>
      </c>
      <c r="L13" s="12" t="n">
        <f aca="false">IFERROR(H13/D13,0)</f>
        <v>0</v>
      </c>
      <c r="M13" s="9" t="n">
        <f aca="false">IFERROR(YEAR(A13),"")</f>
        <v>1899</v>
      </c>
      <c r="N13" s="9" t="n">
        <f aca="false">IFERROR(MONTH(A13),"")</f>
        <v>12</v>
      </c>
    </row>
    <row r="14" customFormat="false" ht="15" hidden="false" customHeight="false" outlineLevel="0" collapsed="false">
      <c r="A14" s="8"/>
      <c r="B14" s="9"/>
      <c r="C14" s="9"/>
      <c r="D14" s="10"/>
      <c r="E14" s="9"/>
      <c r="F14" s="9"/>
      <c r="G14" s="9"/>
      <c r="H14" s="10"/>
      <c r="I14" s="11" t="n">
        <f aca="false">IFERROR(F14/E14,0)</f>
        <v>0</v>
      </c>
      <c r="J14" s="10" t="n">
        <f aca="false">IFERROR(D14/F14,0)</f>
        <v>0</v>
      </c>
      <c r="K14" s="11" t="n">
        <f aca="false">IFERROR(G14/F14,0)</f>
        <v>0</v>
      </c>
      <c r="L14" s="12" t="n">
        <f aca="false">IFERROR(H14/D14,0)</f>
        <v>0</v>
      </c>
      <c r="M14" s="9" t="n">
        <f aca="false">IFERROR(YEAR(A14),"")</f>
        <v>1899</v>
      </c>
      <c r="N14" s="9" t="n">
        <f aca="false">IFERROR(MONTH(A14),"")</f>
        <v>12</v>
      </c>
    </row>
    <row r="15" customFormat="false" ht="15" hidden="false" customHeight="false" outlineLevel="0" collapsed="false">
      <c r="A15" s="8"/>
      <c r="B15" s="9"/>
      <c r="C15" s="9"/>
      <c r="D15" s="10"/>
      <c r="E15" s="9"/>
      <c r="F15" s="9"/>
      <c r="G15" s="9"/>
      <c r="H15" s="10"/>
      <c r="I15" s="11" t="n">
        <f aca="false">IFERROR(F15/E15,0)</f>
        <v>0</v>
      </c>
      <c r="J15" s="10" t="n">
        <f aca="false">IFERROR(D15/F15,0)</f>
        <v>0</v>
      </c>
      <c r="K15" s="11" t="n">
        <f aca="false">IFERROR(G15/F15,0)</f>
        <v>0</v>
      </c>
      <c r="L15" s="12" t="n">
        <f aca="false">IFERROR(H15/D15,0)</f>
        <v>0</v>
      </c>
      <c r="M15" s="9" t="n">
        <f aca="false">IFERROR(YEAR(A15),"")</f>
        <v>1899</v>
      </c>
      <c r="N15" s="9" t="n">
        <f aca="false">IFERROR(MONTH(A15),"")</f>
        <v>12</v>
      </c>
    </row>
    <row r="16" customFormat="false" ht="15" hidden="false" customHeight="false" outlineLevel="0" collapsed="false">
      <c r="A16" s="8"/>
      <c r="B16" s="9"/>
      <c r="C16" s="9"/>
      <c r="D16" s="10"/>
      <c r="E16" s="9"/>
      <c r="F16" s="9"/>
      <c r="G16" s="9"/>
      <c r="H16" s="10"/>
      <c r="I16" s="11" t="n">
        <f aca="false">IFERROR(F16/E16,0)</f>
        <v>0</v>
      </c>
      <c r="J16" s="10" t="n">
        <f aca="false">IFERROR(D16/F16,0)</f>
        <v>0</v>
      </c>
      <c r="K16" s="11" t="n">
        <f aca="false">IFERROR(G16/F16,0)</f>
        <v>0</v>
      </c>
      <c r="L16" s="12" t="n">
        <f aca="false">IFERROR(H16/D16,0)</f>
        <v>0</v>
      </c>
      <c r="M16" s="9" t="n">
        <f aca="false">IFERROR(YEAR(A16),"")</f>
        <v>1899</v>
      </c>
      <c r="N16" s="9" t="n">
        <f aca="false">IFERROR(MONTH(A16),"")</f>
        <v>12</v>
      </c>
    </row>
    <row r="17" customFormat="false" ht="15" hidden="false" customHeight="false" outlineLevel="0" collapsed="false">
      <c r="A17" s="8"/>
      <c r="B17" s="9"/>
      <c r="C17" s="9"/>
      <c r="D17" s="10"/>
      <c r="E17" s="9"/>
      <c r="F17" s="9"/>
      <c r="G17" s="9"/>
      <c r="H17" s="10"/>
      <c r="I17" s="11" t="n">
        <f aca="false">IFERROR(F17/E17,0)</f>
        <v>0</v>
      </c>
      <c r="J17" s="10" t="n">
        <f aca="false">IFERROR(D17/F17,0)</f>
        <v>0</v>
      </c>
      <c r="K17" s="11" t="n">
        <f aca="false">IFERROR(G17/F17,0)</f>
        <v>0</v>
      </c>
      <c r="L17" s="12" t="n">
        <f aca="false">IFERROR(H17/D17,0)</f>
        <v>0</v>
      </c>
      <c r="M17" s="9" t="n">
        <f aca="false">IFERROR(YEAR(A17),"")</f>
        <v>1899</v>
      </c>
      <c r="N17" s="9" t="n">
        <f aca="false">IFERROR(MONTH(A17),"")</f>
        <v>12</v>
      </c>
    </row>
    <row r="18" customFormat="false" ht="15" hidden="false" customHeight="false" outlineLevel="0" collapsed="false">
      <c r="A18" s="8"/>
      <c r="B18" s="9"/>
      <c r="C18" s="9"/>
      <c r="D18" s="10"/>
      <c r="E18" s="9"/>
      <c r="F18" s="9"/>
      <c r="G18" s="9"/>
      <c r="H18" s="10"/>
      <c r="I18" s="11" t="n">
        <f aca="false">IFERROR(F18/E18,0)</f>
        <v>0</v>
      </c>
      <c r="J18" s="10" t="n">
        <f aca="false">IFERROR(D18/F18,0)</f>
        <v>0</v>
      </c>
      <c r="K18" s="11" t="n">
        <f aca="false">IFERROR(G18/F18,0)</f>
        <v>0</v>
      </c>
      <c r="L18" s="12" t="n">
        <f aca="false">IFERROR(H18/D18,0)</f>
        <v>0</v>
      </c>
      <c r="M18" s="9" t="n">
        <f aca="false">IFERROR(YEAR(A18),"")</f>
        <v>1899</v>
      </c>
      <c r="N18" s="9" t="n">
        <f aca="false">IFERROR(MONTH(A18),"")</f>
        <v>12</v>
      </c>
    </row>
    <row r="19" customFormat="false" ht="15" hidden="false" customHeight="false" outlineLevel="0" collapsed="false">
      <c r="A19" s="8"/>
      <c r="B19" s="9"/>
      <c r="C19" s="9"/>
      <c r="D19" s="10"/>
      <c r="E19" s="9"/>
      <c r="F19" s="9"/>
      <c r="G19" s="9"/>
      <c r="H19" s="10"/>
      <c r="I19" s="11" t="n">
        <f aca="false">IFERROR(F19/E19,0)</f>
        <v>0</v>
      </c>
      <c r="J19" s="10" t="n">
        <f aca="false">IFERROR(D19/F19,0)</f>
        <v>0</v>
      </c>
      <c r="K19" s="11" t="n">
        <f aca="false">IFERROR(G19/F19,0)</f>
        <v>0</v>
      </c>
      <c r="L19" s="12" t="n">
        <f aca="false">IFERROR(H19/D19,0)</f>
        <v>0</v>
      </c>
      <c r="M19" s="9" t="n">
        <f aca="false">IFERROR(YEAR(A19),"")</f>
        <v>1899</v>
      </c>
      <c r="N19" s="9" t="n">
        <f aca="false">IFERROR(MONTH(A19),"")</f>
        <v>12</v>
      </c>
    </row>
    <row r="20" customFormat="false" ht="15" hidden="false" customHeight="false" outlineLevel="0" collapsed="false">
      <c r="A20" s="8"/>
      <c r="B20" s="9"/>
      <c r="C20" s="9"/>
      <c r="D20" s="10"/>
      <c r="E20" s="9"/>
      <c r="F20" s="9"/>
      <c r="G20" s="9"/>
      <c r="H20" s="10"/>
      <c r="I20" s="11" t="n">
        <f aca="false">IFERROR(F20/E20,0)</f>
        <v>0</v>
      </c>
      <c r="J20" s="10" t="n">
        <f aca="false">IFERROR(D20/F20,0)</f>
        <v>0</v>
      </c>
      <c r="K20" s="11" t="n">
        <f aca="false">IFERROR(G20/F20,0)</f>
        <v>0</v>
      </c>
      <c r="L20" s="12" t="n">
        <f aca="false">IFERROR(H20/D20,0)</f>
        <v>0</v>
      </c>
      <c r="M20" s="9" t="n">
        <f aca="false">IFERROR(YEAR(A20),"")</f>
        <v>1899</v>
      </c>
      <c r="N20" s="9" t="n">
        <f aca="false">IFERROR(MONTH(A20),"")</f>
        <v>12</v>
      </c>
    </row>
    <row r="21" customFormat="false" ht="15" hidden="false" customHeight="false" outlineLevel="0" collapsed="false">
      <c r="A21" s="8"/>
      <c r="B21" s="9"/>
      <c r="C21" s="9"/>
      <c r="D21" s="10"/>
      <c r="E21" s="9"/>
      <c r="F21" s="9"/>
      <c r="G21" s="9"/>
      <c r="H21" s="10"/>
      <c r="I21" s="11" t="n">
        <f aca="false">IFERROR(F21/E21,0)</f>
        <v>0</v>
      </c>
      <c r="J21" s="10" t="n">
        <f aca="false">IFERROR(D21/F21,0)</f>
        <v>0</v>
      </c>
      <c r="K21" s="11" t="n">
        <f aca="false">IFERROR(G21/F21,0)</f>
        <v>0</v>
      </c>
      <c r="L21" s="12" t="n">
        <f aca="false">IFERROR(H21/D21,0)</f>
        <v>0</v>
      </c>
      <c r="M21" s="9" t="n">
        <f aca="false">IFERROR(YEAR(A21),"")</f>
        <v>1899</v>
      </c>
      <c r="N21" s="9" t="n">
        <f aca="false">IFERROR(MONTH(A21),"")</f>
        <v>12</v>
      </c>
    </row>
    <row r="22" customFormat="false" ht="15" hidden="false" customHeight="false" outlineLevel="0" collapsed="false">
      <c r="A22" s="8"/>
      <c r="B22" s="9"/>
      <c r="C22" s="9"/>
      <c r="D22" s="10"/>
      <c r="E22" s="9"/>
      <c r="F22" s="9"/>
      <c r="G22" s="9"/>
      <c r="H22" s="10"/>
      <c r="I22" s="11" t="n">
        <f aca="false">IFERROR(F22/E22,0)</f>
        <v>0</v>
      </c>
      <c r="J22" s="10" t="n">
        <f aca="false">IFERROR(D22/F22,0)</f>
        <v>0</v>
      </c>
      <c r="K22" s="11" t="n">
        <f aca="false">IFERROR(G22/F22,0)</f>
        <v>0</v>
      </c>
      <c r="L22" s="12" t="n">
        <f aca="false">IFERROR(H22/D22,0)</f>
        <v>0</v>
      </c>
      <c r="M22" s="9" t="n">
        <f aca="false">IFERROR(YEAR(A22),"")</f>
        <v>1899</v>
      </c>
      <c r="N22" s="9" t="n">
        <f aca="false">IFERROR(MONTH(A22),"")</f>
        <v>12</v>
      </c>
    </row>
    <row r="23" customFormat="false" ht="15" hidden="false" customHeight="false" outlineLevel="0" collapsed="false">
      <c r="A23" s="8"/>
      <c r="B23" s="9"/>
      <c r="C23" s="9"/>
      <c r="D23" s="10"/>
      <c r="E23" s="9"/>
      <c r="F23" s="9"/>
      <c r="G23" s="9"/>
      <c r="H23" s="10"/>
      <c r="I23" s="11" t="n">
        <f aca="false">IFERROR(F23/E23,0)</f>
        <v>0</v>
      </c>
      <c r="J23" s="10" t="n">
        <f aca="false">IFERROR(D23/F23,0)</f>
        <v>0</v>
      </c>
      <c r="K23" s="11" t="n">
        <f aca="false">IFERROR(G23/F23,0)</f>
        <v>0</v>
      </c>
      <c r="L23" s="12" t="n">
        <f aca="false">IFERROR(H23/D23,0)</f>
        <v>0</v>
      </c>
      <c r="M23" s="9" t="n">
        <f aca="false">IFERROR(YEAR(A23),"")</f>
        <v>1899</v>
      </c>
      <c r="N23" s="9" t="n">
        <f aca="false">IFERROR(MONTH(A23),"")</f>
        <v>12</v>
      </c>
    </row>
    <row r="24" customFormat="false" ht="15" hidden="false" customHeight="false" outlineLevel="0" collapsed="false">
      <c r="A24" s="8"/>
      <c r="B24" s="9"/>
      <c r="C24" s="9"/>
      <c r="D24" s="10"/>
      <c r="E24" s="9"/>
      <c r="F24" s="9"/>
      <c r="G24" s="9"/>
      <c r="H24" s="10"/>
      <c r="I24" s="11" t="n">
        <f aca="false">IFERROR(F24/E24,0)</f>
        <v>0</v>
      </c>
      <c r="J24" s="10" t="n">
        <f aca="false">IFERROR(D24/F24,0)</f>
        <v>0</v>
      </c>
      <c r="K24" s="11" t="n">
        <f aca="false">IFERROR(G24/F24,0)</f>
        <v>0</v>
      </c>
      <c r="L24" s="12" t="n">
        <f aca="false">IFERROR(H24/D24,0)</f>
        <v>0</v>
      </c>
      <c r="M24" s="9" t="n">
        <f aca="false">IFERROR(YEAR(A24),"")</f>
        <v>1899</v>
      </c>
      <c r="N24" s="9" t="n">
        <f aca="false">IFERROR(MONTH(A24),"")</f>
        <v>12</v>
      </c>
    </row>
    <row r="25" customFormat="false" ht="15" hidden="false" customHeight="false" outlineLevel="0" collapsed="false">
      <c r="A25" s="8"/>
      <c r="B25" s="9"/>
      <c r="C25" s="9"/>
      <c r="D25" s="10"/>
      <c r="E25" s="9"/>
      <c r="F25" s="9"/>
      <c r="G25" s="9"/>
      <c r="H25" s="10"/>
      <c r="I25" s="11" t="n">
        <f aca="false">IFERROR(F25/E25,0)</f>
        <v>0</v>
      </c>
      <c r="J25" s="10" t="n">
        <f aca="false">IFERROR(D25/F25,0)</f>
        <v>0</v>
      </c>
      <c r="K25" s="11" t="n">
        <f aca="false">IFERROR(G25/F25,0)</f>
        <v>0</v>
      </c>
      <c r="L25" s="12" t="n">
        <f aca="false">IFERROR(H25/D25,0)</f>
        <v>0</v>
      </c>
      <c r="M25" s="9" t="n">
        <f aca="false">IFERROR(YEAR(A25),"")</f>
        <v>1899</v>
      </c>
      <c r="N25" s="9" t="n">
        <f aca="false">IFERROR(MONTH(A25),"")</f>
        <v>12</v>
      </c>
    </row>
    <row r="26" customFormat="false" ht="15" hidden="false" customHeight="false" outlineLevel="0" collapsed="false">
      <c r="A26" s="8"/>
      <c r="B26" s="9"/>
      <c r="C26" s="9"/>
      <c r="D26" s="10"/>
      <c r="E26" s="9"/>
      <c r="F26" s="9"/>
      <c r="G26" s="9"/>
      <c r="H26" s="10"/>
      <c r="I26" s="11" t="n">
        <f aca="false">IFERROR(F26/E26,0)</f>
        <v>0</v>
      </c>
      <c r="J26" s="10" t="n">
        <f aca="false">IFERROR(D26/F26,0)</f>
        <v>0</v>
      </c>
      <c r="K26" s="11" t="n">
        <f aca="false">IFERROR(G26/F26,0)</f>
        <v>0</v>
      </c>
      <c r="L26" s="12" t="n">
        <f aca="false">IFERROR(H26/D26,0)</f>
        <v>0</v>
      </c>
      <c r="M26" s="9" t="n">
        <f aca="false">IFERROR(YEAR(A26),"")</f>
        <v>1899</v>
      </c>
      <c r="N26" s="9" t="n">
        <f aca="false">IFERROR(MONTH(A26),"")</f>
        <v>12</v>
      </c>
    </row>
    <row r="27" customFormat="false" ht="15" hidden="false" customHeight="false" outlineLevel="0" collapsed="false">
      <c r="A27" s="8"/>
      <c r="B27" s="9"/>
      <c r="C27" s="9"/>
      <c r="D27" s="10"/>
      <c r="E27" s="9"/>
      <c r="F27" s="9"/>
      <c r="G27" s="9"/>
      <c r="H27" s="10"/>
      <c r="I27" s="11" t="n">
        <f aca="false">IFERROR(F27/E27,0)</f>
        <v>0</v>
      </c>
      <c r="J27" s="10" t="n">
        <f aca="false">IFERROR(D27/F27,0)</f>
        <v>0</v>
      </c>
      <c r="K27" s="11" t="n">
        <f aca="false">IFERROR(G27/F27,0)</f>
        <v>0</v>
      </c>
      <c r="L27" s="12" t="n">
        <f aca="false">IFERROR(H27/D27,0)</f>
        <v>0</v>
      </c>
      <c r="M27" s="9" t="n">
        <f aca="false">IFERROR(YEAR(A27),"")</f>
        <v>1899</v>
      </c>
      <c r="N27" s="9" t="n">
        <f aca="false">IFERROR(MONTH(A27),"")</f>
        <v>12</v>
      </c>
    </row>
    <row r="28" customFormat="false" ht="15" hidden="false" customHeight="false" outlineLevel="0" collapsed="false">
      <c r="A28" s="8"/>
      <c r="B28" s="9"/>
      <c r="C28" s="9"/>
      <c r="D28" s="10"/>
      <c r="E28" s="9"/>
      <c r="F28" s="9"/>
      <c r="G28" s="9"/>
      <c r="H28" s="10"/>
      <c r="I28" s="11" t="n">
        <f aca="false">IFERROR(F28/E28,0)</f>
        <v>0</v>
      </c>
      <c r="J28" s="10" t="n">
        <f aca="false">IFERROR(D28/F28,0)</f>
        <v>0</v>
      </c>
      <c r="K28" s="11" t="n">
        <f aca="false">IFERROR(G28/F28,0)</f>
        <v>0</v>
      </c>
      <c r="L28" s="12" t="n">
        <f aca="false">IFERROR(H28/D28,0)</f>
        <v>0</v>
      </c>
      <c r="M28" s="9" t="n">
        <f aca="false">IFERROR(YEAR(A28),"")</f>
        <v>1899</v>
      </c>
      <c r="N28" s="9" t="n">
        <f aca="false">IFERROR(MONTH(A28),"")</f>
        <v>12</v>
      </c>
    </row>
    <row r="29" customFormat="false" ht="15" hidden="false" customHeight="false" outlineLevel="0" collapsed="false">
      <c r="A29" s="8"/>
      <c r="B29" s="9"/>
      <c r="C29" s="9"/>
      <c r="D29" s="10"/>
      <c r="E29" s="9"/>
      <c r="F29" s="9"/>
      <c r="G29" s="9"/>
      <c r="H29" s="10"/>
      <c r="I29" s="11" t="n">
        <f aca="false">IFERROR(F29/E29,0)</f>
        <v>0</v>
      </c>
      <c r="J29" s="10" t="n">
        <f aca="false">IFERROR(D29/F29,0)</f>
        <v>0</v>
      </c>
      <c r="K29" s="11" t="n">
        <f aca="false">IFERROR(G29/F29,0)</f>
        <v>0</v>
      </c>
      <c r="L29" s="12" t="n">
        <f aca="false">IFERROR(H29/D29,0)</f>
        <v>0</v>
      </c>
      <c r="M29" s="9" t="n">
        <f aca="false">IFERROR(YEAR(A29),"")</f>
        <v>1899</v>
      </c>
      <c r="N29" s="9" t="n">
        <f aca="false">IFERROR(MONTH(A29),"")</f>
        <v>12</v>
      </c>
    </row>
    <row r="30" customFormat="false" ht="15" hidden="false" customHeight="false" outlineLevel="0" collapsed="false">
      <c r="A30" s="8"/>
      <c r="B30" s="9"/>
      <c r="C30" s="9"/>
      <c r="D30" s="10"/>
      <c r="E30" s="9"/>
      <c r="F30" s="9"/>
      <c r="G30" s="9"/>
      <c r="H30" s="10"/>
      <c r="I30" s="11" t="n">
        <f aca="false">IFERROR(F30/E30,0)</f>
        <v>0</v>
      </c>
      <c r="J30" s="10" t="n">
        <f aca="false">IFERROR(D30/F30,0)</f>
        <v>0</v>
      </c>
      <c r="K30" s="11" t="n">
        <f aca="false">IFERROR(G30/F30,0)</f>
        <v>0</v>
      </c>
      <c r="L30" s="12" t="n">
        <f aca="false">IFERROR(H30/D30,0)</f>
        <v>0</v>
      </c>
      <c r="M30" s="9" t="n">
        <f aca="false">IFERROR(YEAR(A30),"")</f>
        <v>1899</v>
      </c>
      <c r="N30" s="9" t="n">
        <f aca="false">IFERROR(MONTH(A30),"")</f>
        <v>12</v>
      </c>
    </row>
    <row r="31" customFormat="false" ht="15" hidden="false" customHeight="false" outlineLevel="0" collapsed="false">
      <c r="A31" s="8"/>
      <c r="B31" s="9"/>
      <c r="C31" s="9"/>
      <c r="D31" s="10"/>
      <c r="E31" s="9"/>
      <c r="F31" s="9"/>
      <c r="G31" s="9"/>
      <c r="H31" s="10"/>
      <c r="I31" s="11" t="n">
        <f aca="false">IFERROR(F31/E31,0)</f>
        <v>0</v>
      </c>
      <c r="J31" s="10" t="n">
        <f aca="false">IFERROR(D31/F31,0)</f>
        <v>0</v>
      </c>
      <c r="K31" s="11" t="n">
        <f aca="false">IFERROR(G31/F31,0)</f>
        <v>0</v>
      </c>
      <c r="L31" s="12" t="n">
        <f aca="false">IFERROR(H31/D31,0)</f>
        <v>0</v>
      </c>
      <c r="M31" s="9" t="n">
        <f aca="false">IFERROR(YEAR(A31),"")</f>
        <v>1899</v>
      </c>
      <c r="N31" s="9" t="n">
        <f aca="false">IFERROR(MONTH(A31),"")</f>
        <v>12</v>
      </c>
    </row>
    <row r="32" customFormat="false" ht="15" hidden="false" customHeight="false" outlineLevel="0" collapsed="false">
      <c r="A32" s="8"/>
      <c r="B32" s="9"/>
      <c r="C32" s="9"/>
      <c r="D32" s="10"/>
      <c r="E32" s="9"/>
      <c r="F32" s="9"/>
      <c r="G32" s="9"/>
      <c r="H32" s="10"/>
      <c r="I32" s="11" t="n">
        <f aca="false">IFERROR(F32/E32,0)</f>
        <v>0</v>
      </c>
      <c r="J32" s="10" t="n">
        <f aca="false">IFERROR(D32/F32,0)</f>
        <v>0</v>
      </c>
      <c r="K32" s="11" t="n">
        <f aca="false">IFERROR(G32/F32,0)</f>
        <v>0</v>
      </c>
      <c r="L32" s="12" t="n">
        <f aca="false">IFERROR(H32/D32,0)</f>
        <v>0</v>
      </c>
      <c r="M32" s="9" t="n">
        <f aca="false">IFERROR(YEAR(A32),"")</f>
        <v>1899</v>
      </c>
      <c r="N32" s="9" t="n">
        <f aca="false">IFERROR(MONTH(A32),"")</f>
        <v>12</v>
      </c>
    </row>
    <row r="33" customFormat="false" ht="15" hidden="false" customHeight="false" outlineLevel="0" collapsed="false">
      <c r="A33" s="8"/>
      <c r="B33" s="9"/>
      <c r="C33" s="9"/>
      <c r="D33" s="10"/>
      <c r="E33" s="9"/>
      <c r="F33" s="9"/>
      <c r="G33" s="9"/>
      <c r="H33" s="10"/>
      <c r="I33" s="11" t="n">
        <f aca="false">IFERROR(F33/E33,0)</f>
        <v>0</v>
      </c>
      <c r="J33" s="10" t="n">
        <f aca="false">IFERROR(D33/F33,0)</f>
        <v>0</v>
      </c>
      <c r="K33" s="11" t="n">
        <f aca="false">IFERROR(G33/F33,0)</f>
        <v>0</v>
      </c>
      <c r="L33" s="12" t="n">
        <f aca="false">IFERROR(H33/D33,0)</f>
        <v>0</v>
      </c>
      <c r="M33" s="9" t="n">
        <f aca="false">IFERROR(YEAR(A33),"")</f>
        <v>1899</v>
      </c>
      <c r="N33" s="9" t="n">
        <f aca="false">IFERROR(MONTH(A33),"")</f>
        <v>12</v>
      </c>
    </row>
    <row r="34" customFormat="false" ht="15" hidden="false" customHeight="false" outlineLevel="0" collapsed="false">
      <c r="A34" s="8"/>
      <c r="B34" s="9"/>
      <c r="C34" s="9"/>
      <c r="D34" s="10"/>
      <c r="E34" s="9"/>
      <c r="F34" s="9"/>
      <c r="G34" s="9"/>
      <c r="H34" s="10"/>
      <c r="I34" s="11" t="n">
        <f aca="false">IFERROR(F34/E34,0)</f>
        <v>0</v>
      </c>
      <c r="J34" s="10" t="n">
        <f aca="false">IFERROR(D34/F34,0)</f>
        <v>0</v>
      </c>
      <c r="K34" s="11" t="n">
        <f aca="false">IFERROR(G34/F34,0)</f>
        <v>0</v>
      </c>
      <c r="L34" s="12" t="n">
        <f aca="false">IFERROR(H34/D34,0)</f>
        <v>0</v>
      </c>
      <c r="M34" s="9" t="n">
        <f aca="false">IFERROR(YEAR(A34),"")</f>
        <v>1899</v>
      </c>
      <c r="N34" s="9" t="n">
        <f aca="false">IFERROR(MONTH(A34),"")</f>
        <v>12</v>
      </c>
    </row>
    <row r="35" customFormat="false" ht="15" hidden="false" customHeight="false" outlineLevel="0" collapsed="false">
      <c r="A35" s="8"/>
      <c r="B35" s="9"/>
      <c r="C35" s="9"/>
      <c r="D35" s="10"/>
      <c r="E35" s="9"/>
      <c r="F35" s="9"/>
      <c r="G35" s="9"/>
      <c r="H35" s="10"/>
      <c r="I35" s="11" t="n">
        <f aca="false">IFERROR(F35/E35,0)</f>
        <v>0</v>
      </c>
      <c r="J35" s="10" t="n">
        <f aca="false">IFERROR(D35/F35,0)</f>
        <v>0</v>
      </c>
      <c r="K35" s="11" t="n">
        <f aca="false">IFERROR(G35/F35,0)</f>
        <v>0</v>
      </c>
      <c r="L35" s="12" t="n">
        <f aca="false">IFERROR(H35/D35,0)</f>
        <v>0</v>
      </c>
      <c r="M35" s="9" t="n">
        <f aca="false">IFERROR(YEAR(A35),"")</f>
        <v>1899</v>
      </c>
      <c r="N35" s="9" t="n">
        <f aca="false">IFERROR(MONTH(A35),"")</f>
        <v>12</v>
      </c>
    </row>
    <row r="36" customFormat="false" ht="15" hidden="false" customHeight="false" outlineLevel="0" collapsed="false">
      <c r="A36" s="8"/>
      <c r="B36" s="9"/>
      <c r="C36" s="9"/>
      <c r="D36" s="10"/>
      <c r="E36" s="9"/>
      <c r="F36" s="9"/>
      <c r="G36" s="9"/>
      <c r="H36" s="10"/>
      <c r="I36" s="11" t="n">
        <f aca="false">IFERROR(F36/E36,0)</f>
        <v>0</v>
      </c>
      <c r="J36" s="10" t="n">
        <f aca="false">IFERROR(D36/F36,0)</f>
        <v>0</v>
      </c>
      <c r="K36" s="11" t="n">
        <f aca="false">IFERROR(G36/F36,0)</f>
        <v>0</v>
      </c>
      <c r="L36" s="12" t="n">
        <f aca="false">IFERROR(H36/D36,0)</f>
        <v>0</v>
      </c>
      <c r="M36" s="9" t="n">
        <f aca="false">IFERROR(YEAR(A36),"")</f>
        <v>1899</v>
      </c>
      <c r="N36" s="9" t="n">
        <f aca="false">IFERROR(MONTH(A36),"")</f>
        <v>12</v>
      </c>
    </row>
    <row r="37" customFormat="false" ht="15" hidden="false" customHeight="false" outlineLevel="0" collapsed="false">
      <c r="A37" s="8"/>
      <c r="B37" s="9"/>
      <c r="C37" s="9"/>
      <c r="D37" s="10"/>
      <c r="E37" s="9"/>
      <c r="F37" s="9"/>
      <c r="G37" s="9"/>
      <c r="H37" s="10"/>
      <c r="I37" s="11" t="n">
        <f aca="false">IFERROR(F37/E37,0)</f>
        <v>0</v>
      </c>
      <c r="J37" s="10" t="n">
        <f aca="false">IFERROR(D37/F37,0)</f>
        <v>0</v>
      </c>
      <c r="K37" s="11" t="n">
        <f aca="false">IFERROR(G37/F37,0)</f>
        <v>0</v>
      </c>
      <c r="L37" s="12" t="n">
        <f aca="false">IFERROR(H37/D37,0)</f>
        <v>0</v>
      </c>
      <c r="M37" s="9" t="n">
        <f aca="false">IFERROR(YEAR(A37),"")</f>
        <v>1899</v>
      </c>
      <c r="N37" s="9" t="n">
        <f aca="false">IFERROR(MONTH(A37),"")</f>
        <v>12</v>
      </c>
    </row>
    <row r="38" customFormat="false" ht="15" hidden="false" customHeight="false" outlineLevel="0" collapsed="false">
      <c r="A38" s="8"/>
      <c r="B38" s="9"/>
      <c r="C38" s="9"/>
      <c r="D38" s="10"/>
      <c r="E38" s="9"/>
      <c r="F38" s="9"/>
      <c r="G38" s="9"/>
      <c r="H38" s="10"/>
      <c r="I38" s="11" t="n">
        <f aca="false">IFERROR(F38/E38,0)</f>
        <v>0</v>
      </c>
      <c r="J38" s="10" t="n">
        <f aca="false">IFERROR(D38/F38,0)</f>
        <v>0</v>
      </c>
      <c r="K38" s="11" t="n">
        <f aca="false">IFERROR(G38/F38,0)</f>
        <v>0</v>
      </c>
      <c r="L38" s="12" t="n">
        <f aca="false">IFERROR(H38/D38,0)</f>
        <v>0</v>
      </c>
      <c r="M38" s="9" t="n">
        <f aca="false">IFERROR(YEAR(A38),"")</f>
        <v>1899</v>
      </c>
      <c r="N38" s="9" t="n">
        <f aca="false">IFERROR(MONTH(A38),"")</f>
        <v>12</v>
      </c>
    </row>
    <row r="39" customFormat="false" ht="15" hidden="false" customHeight="false" outlineLevel="0" collapsed="false">
      <c r="A39" s="8"/>
      <c r="B39" s="9"/>
      <c r="C39" s="9"/>
      <c r="D39" s="10"/>
      <c r="E39" s="9"/>
      <c r="F39" s="9"/>
      <c r="G39" s="9"/>
      <c r="H39" s="10"/>
      <c r="I39" s="11" t="n">
        <f aca="false">IFERROR(F39/E39,0)</f>
        <v>0</v>
      </c>
      <c r="J39" s="10" t="n">
        <f aca="false">IFERROR(D39/F39,0)</f>
        <v>0</v>
      </c>
      <c r="K39" s="11" t="n">
        <f aca="false">IFERROR(G39/F39,0)</f>
        <v>0</v>
      </c>
      <c r="L39" s="12" t="n">
        <f aca="false">IFERROR(H39/D39,0)</f>
        <v>0</v>
      </c>
      <c r="M39" s="9" t="n">
        <f aca="false">IFERROR(YEAR(A39),"")</f>
        <v>1899</v>
      </c>
      <c r="N39" s="9" t="n">
        <f aca="false">IFERROR(MONTH(A39),"")</f>
        <v>12</v>
      </c>
    </row>
    <row r="40" customFormat="false" ht="15" hidden="false" customHeight="false" outlineLevel="0" collapsed="false">
      <c r="A40" s="8"/>
      <c r="B40" s="9"/>
      <c r="C40" s="9"/>
      <c r="D40" s="10"/>
      <c r="E40" s="9"/>
      <c r="F40" s="9"/>
      <c r="G40" s="9"/>
      <c r="H40" s="10"/>
      <c r="I40" s="11" t="n">
        <f aca="false">IFERROR(F40/E40,0)</f>
        <v>0</v>
      </c>
      <c r="J40" s="10" t="n">
        <f aca="false">IFERROR(D40/F40,0)</f>
        <v>0</v>
      </c>
      <c r="K40" s="11" t="n">
        <f aca="false">IFERROR(G40/F40,0)</f>
        <v>0</v>
      </c>
      <c r="L40" s="12" t="n">
        <f aca="false">IFERROR(H40/D40,0)</f>
        <v>0</v>
      </c>
      <c r="M40" s="9" t="n">
        <f aca="false">IFERROR(YEAR(A40),"")</f>
        <v>1899</v>
      </c>
      <c r="N40" s="9" t="n">
        <f aca="false">IFERROR(MONTH(A40),"")</f>
        <v>12</v>
      </c>
    </row>
    <row r="41" customFormat="false" ht="15" hidden="false" customHeight="false" outlineLevel="0" collapsed="false">
      <c r="A41" s="8"/>
      <c r="B41" s="9"/>
      <c r="C41" s="9"/>
      <c r="D41" s="10"/>
      <c r="E41" s="9"/>
      <c r="F41" s="9"/>
      <c r="G41" s="9"/>
      <c r="H41" s="10"/>
      <c r="I41" s="11" t="n">
        <f aca="false">IFERROR(F41/E41,0)</f>
        <v>0</v>
      </c>
      <c r="J41" s="10" t="n">
        <f aca="false">IFERROR(D41/F41,0)</f>
        <v>0</v>
      </c>
      <c r="K41" s="11" t="n">
        <f aca="false">IFERROR(G41/F41,0)</f>
        <v>0</v>
      </c>
      <c r="L41" s="12" t="n">
        <f aca="false">IFERROR(H41/D41,0)</f>
        <v>0</v>
      </c>
      <c r="M41" s="9" t="n">
        <f aca="false">IFERROR(YEAR(A41),"")</f>
        <v>1899</v>
      </c>
      <c r="N41" s="9" t="n">
        <f aca="false">IFERROR(MONTH(A41),"")</f>
        <v>12</v>
      </c>
    </row>
    <row r="42" customFormat="false" ht="15" hidden="false" customHeight="false" outlineLevel="0" collapsed="false">
      <c r="A42" s="8"/>
      <c r="B42" s="9"/>
      <c r="C42" s="9"/>
      <c r="D42" s="10"/>
      <c r="E42" s="9"/>
      <c r="F42" s="9"/>
      <c r="G42" s="9"/>
      <c r="H42" s="10"/>
      <c r="I42" s="11" t="n">
        <f aca="false">IFERROR(F42/E42,0)</f>
        <v>0</v>
      </c>
      <c r="J42" s="10" t="n">
        <f aca="false">IFERROR(D42/F42,0)</f>
        <v>0</v>
      </c>
      <c r="K42" s="11" t="n">
        <f aca="false">IFERROR(G42/F42,0)</f>
        <v>0</v>
      </c>
      <c r="L42" s="12" t="n">
        <f aca="false">IFERROR(H42/D42,0)</f>
        <v>0</v>
      </c>
      <c r="M42" s="9" t="n">
        <f aca="false">IFERROR(YEAR(A42),"")</f>
        <v>1899</v>
      </c>
      <c r="N42" s="9" t="n">
        <f aca="false">IFERROR(MONTH(A42),"")</f>
        <v>12</v>
      </c>
    </row>
    <row r="43" customFormat="false" ht="15" hidden="false" customHeight="false" outlineLevel="0" collapsed="false">
      <c r="A43" s="8"/>
      <c r="B43" s="9"/>
      <c r="C43" s="9"/>
      <c r="D43" s="10"/>
      <c r="E43" s="9"/>
      <c r="F43" s="9"/>
      <c r="G43" s="9"/>
      <c r="H43" s="10"/>
      <c r="I43" s="11" t="n">
        <f aca="false">IFERROR(F43/E43,0)</f>
        <v>0</v>
      </c>
      <c r="J43" s="10" t="n">
        <f aca="false">IFERROR(D43/F43,0)</f>
        <v>0</v>
      </c>
      <c r="K43" s="11" t="n">
        <f aca="false">IFERROR(G43/F43,0)</f>
        <v>0</v>
      </c>
      <c r="L43" s="12" t="n">
        <f aca="false">IFERROR(H43/D43,0)</f>
        <v>0</v>
      </c>
      <c r="M43" s="9" t="n">
        <f aca="false">IFERROR(YEAR(A43),"")</f>
        <v>1899</v>
      </c>
      <c r="N43" s="9" t="n">
        <f aca="false">IFERROR(MONTH(A43),"")</f>
        <v>12</v>
      </c>
    </row>
    <row r="44" customFormat="false" ht="15" hidden="false" customHeight="false" outlineLevel="0" collapsed="false">
      <c r="A44" s="8"/>
      <c r="B44" s="9"/>
      <c r="C44" s="9"/>
      <c r="D44" s="10"/>
      <c r="E44" s="9"/>
      <c r="F44" s="9"/>
      <c r="G44" s="9"/>
      <c r="H44" s="10"/>
      <c r="I44" s="11" t="n">
        <f aca="false">IFERROR(F44/E44,0)</f>
        <v>0</v>
      </c>
      <c r="J44" s="10" t="n">
        <f aca="false">IFERROR(D44/F44,0)</f>
        <v>0</v>
      </c>
      <c r="K44" s="11" t="n">
        <f aca="false">IFERROR(G44/F44,0)</f>
        <v>0</v>
      </c>
      <c r="L44" s="12" t="n">
        <f aca="false">IFERROR(H44/D44,0)</f>
        <v>0</v>
      </c>
      <c r="M44" s="9" t="n">
        <f aca="false">IFERROR(YEAR(A44),"")</f>
        <v>1899</v>
      </c>
      <c r="N44" s="9" t="n">
        <f aca="false">IFERROR(MONTH(A44),"")</f>
        <v>12</v>
      </c>
    </row>
    <row r="45" customFormat="false" ht="15" hidden="false" customHeight="false" outlineLevel="0" collapsed="false">
      <c r="A45" s="8"/>
      <c r="B45" s="9"/>
      <c r="C45" s="9"/>
      <c r="D45" s="10"/>
      <c r="E45" s="9"/>
      <c r="F45" s="9"/>
      <c r="G45" s="9"/>
      <c r="H45" s="10"/>
      <c r="I45" s="11" t="n">
        <f aca="false">IFERROR(F45/E45,0)</f>
        <v>0</v>
      </c>
      <c r="J45" s="10" t="n">
        <f aca="false">IFERROR(D45/F45,0)</f>
        <v>0</v>
      </c>
      <c r="K45" s="11" t="n">
        <f aca="false">IFERROR(G45/F45,0)</f>
        <v>0</v>
      </c>
      <c r="L45" s="12" t="n">
        <f aca="false">IFERROR(H45/D45,0)</f>
        <v>0</v>
      </c>
      <c r="M45" s="9" t="n">
        <f aca="false">IFERROR(YEAR(A45),"")</f>
        <v>1899</v>
      </c>
      <c r="N45" s="9" t="n">
        <f aca="false">IFERROR(MONTH(A45),"")</f>
        <v>12</v>
      </c>
    </row>
    <row r="46" customFormat="false" ht="15" hidden="false" customHeight="false" outlineLevel="0" collapsed="false">
      <c r="A46" s="8"/>
      <c r="B46" s="9"/>
      <c r="C46" s="9"/>
      <c r="D46" s="10"/>
      <c r="E46" s="9"/>
      <c r="F46" s="9"/>
      <c r="G46" s="9"/>
      <c r="H46" s="10"/>
      <c r="I46" s="11" t="n">
        <f aca="false">IFERROR(F46/E46,0)</f>
        <v>0</v>
      </c>
      <c r="J46" s="10" t="n">
        <f aca="false">IFERROR(D46/F46,0)</f>
        <v>0</v>
      </c>
      <c r="K46" s="11" t="n">
        <f aca="false">IFERROR(G46/F46,0)</f>
        <v>0</v>
      </c>
      <c r="L46" s="12" t="n">
        <f aca="false">IFERROR(H46/D46,0)</f>
        <v>0</v>
      </c>
      <c r="M46" s="9" t="n">
        <f aca="false">IFERROR(YEAR(A46),"")</f>
        <v>1899</v>
      </c>
      <c r="N46" s="9" t="n">
        <f aca="false">IFERROR(MONTH(A46),"")</f>
        <v>12</v>
      </c>
    </row>
    <row r="47" customFormat="false" ht="15" hidden="false" customHeight="false" outlineLevel="0" collapsed="false">
      <c r="A47" s="8"/>
      <c r="B47" s="9"/>
      <c r="C47" s="9"/>
      <c r="D47" s="10"/>
      <c r="E47" s="9"/>
      <c r="F47" s="9"/>
      <c r="G47" s="9"/>
      <c r="H47" s="10"/>
      <c r="I47" s="11" t="n">
        <f aca="false">IFERROR(F47/E47,0)</f>
        <v>0</v>
      </c>
      <c r="J47" s="10" t="n">
        <f aca="false">IFERROR(D47/F47,0)</f>
        <v>0</v>
      </c>
      <c r="K47" s="11" t="n">
        <f aca="false">IFERROR(G47/F47,0)</f>
        <v>0</v>
      </c>
      <c r="L47" s="12" t="n">
        <f aca="false">IFERROR(H47/D47,0)</f>
        <v>0</v>
      </c>
      <c r="M47" s="9" t="n">
        <f aca="false">IFERROR(YEAR(A47),"")</f>
        <v>1899</v>
      </c>
      <c r="N47" s="9" t="n">
        <f aca="false">IFERROR(MONTH(A47),"")</f>
        <v>12</v>
      </c>
    </row>
    <row r="48" customFormat="false" ht="15" hidden="false" customHeight="false" outlineLevel="0" collapsed="false">
      <c r="A48" s="8"/>
      <c r="B48" s="9"/>
      <c r="C48" s="9"/>
      <c r="D48" s="10"/>
      <c r="E48" s="9"/>
      <c r="F48" s="9"/>
      <c r="G48" s="9"/>
      <c r="H48" s="10"/>
      <c r="I48" s="11" t="n">
        <f aca="false">IFERROR(F48/E48,0)</f>
        <v>0</v>
      </c>
      <c r="J48" s="10" t="n">
        <f aca="false">IFERROR(D48/F48,0)</f>
        <v>0</v>
      </c>
      <c r="K48" s="11" t="n">
        <f aca="false">IFERROR(G48/F48,0)</f>
        <v>0</v>
      </c>
      <c r="L48" s="12" t="n">
        <f aca="false">IFERROR(H48/D48,0)</f>
        <v>0</v>
      </c>
      <c r="M48" s="9" t="n">
        <f aca="false">IFERROR(YEAR(A48),"")</f>
        <v>1899</v>
      </c>
      <c r="N48" s="9" t="n">
        <f aca="false">IFERROR(MONTH(A48),"")</f>
        <v>12</v>
      </c>
    </row>
    <row r="49" customFormat="false" ht="15" hidden="false" customHeight="false" outlineLevel="0" collapsed="false">
      <c r="A49" s="8"/>
      <c r="B49" s="9"/>
      <c r="C49" s="9"/>
      <c r="D49" s="10"/>
      <c r="E49" s="9"/>
      <c r="F49" s="9"/>
      <c r="G49" s="9"/>
      <c r="H49" s="10"/>
      <c r="I49" s="11" t="n">
        <f aca="false">IFERROR(F49/E49,0)</f>
        <v>0</v>
      </c>
      <c r="J49" s="10" t="n">
        <f aca="false">IFERROR(D49/F49,0)</f>
        <v>0</v>
      </c>
      <c r="K49" s="11" t="n">
        <f aca="false">IFERROR(G49/F49,0)</f>
        <v>0</v>
      </c>
      <c r="L49" s="12" t="n">
        <f aca="false">IFERROR(H49/D49,0)</f>
        <v>0</v>
      </c>
      <c r="M49" s="9" t="n">
        <f aca="false">IFERROR(YEAR(A49),"")</f>
        <v>1899</v>
      </c>
      <c r="N49" s="9" t="n">
        <f aca="false">IFERROR(MONTH(A49),"")</f>
        <v>12</v>
      </c>
    </row>
    <row r="50" customFormat="false" ht="15" hidden="false" customHeight="false" outlineLevel="0" collapsed="false">
      <c r="A50" s="8"/>
      <c r="B50" s="9"/>
      <c r="C50" s="9"/>
      <c r="D50" s="10"/>
      <c r="E50" s="9"/>
      <c r="F50" s="9"/>
      <c r="G50" s="9"/>
      <c r="H50" s="10"/>
      <c r="I50" s="11" t="n">
        <f aca="false">IFERROR(F50/E50,0)</f>
        <v>0</v>
      </c>
      <c r="J50" s="10" t="n">
        <f aca="false">IFERROR(D50/F50,0)</f>
        <v>0</v>
      </c>
      <c r="K50" s="11" t="n">
        <f aca="false">IFERROR(G50/F50,0)</f>
        <v>0</v>
      </c>
      <c r="L50" s="12" t="n">
        <f aca="false">IFERROR(H50/D50,0)</f>
        <v>0</v>
      </c>
      <c r="M50" s="9" t="n">
        <f aca="false">IFERROR(YEAR(A50),"")</f>
        <v>1899</v>
      </c>
      <c r="N50" s="9" t="n">
        <f aca="false">IFERROR(MONTH(A50),"")</f>
        <v>12</v>
      </c>
    </row>
    <row r="51" customFormat="false" ht="15" hidden="false" customHeight="false" outlineLevel="0" collapsed="false">
      <c r="A51" s="8"/>
      <c r="B51" s="9"/>
      <c r="C51" s="9"/>
      <c r="D51" s="10"/>
      <c r="E51" s="9"/>
      <c r="F51" s="9"/>
      <c r="G51" s="9"/>
      <c r="H51" s="10"/>
      <c r="I51" s="11" t="n">
        <f aca="false">IFERROR(F51/E51,0)</f>
        <v>0</v>
      </c>
      <c r="J51" s="10" t="n">
        <f aca="false">IFERROR(D51/F51,0)</f>
        <v>0</v>
      </c>
      <c r="K51" s="11" t="n">
        <f aca="false">IFERROR(G51/F51,0)</f>
        <v>0</v>
      </c>
      <c r="L51" s="12" t="n">
        <f aca="false">IFERROR(H51/D51,0)</f>
        <v>0</v>
      </c>
      <c r="M51" s="9" t="n">
        <f aca="false">IFERROR(YEAR(A51),"")</f>
        <v>1899</v>
      </c>
      <c r="N51" s="9" t="n">
        <f aca="false">IFERROR(MONTH(A51),"")</f>
        <v>12</v>
      </c>
    </row>
    <row r="52" customFormat="false" ht="15" hidden="false" customHeight="false" outlineLevel="0" collapsed="false">
      <c r="A52" s="8"/>
      <c r="B52" s="9"/>
      <c r="C52" s="9"/>
      <c r="D52" s="10"/>
      <c r="E52" s="9"/>
      <c r="F52" s="9"/>
      <c r="G52" s="9"/>
      <c r="H52" s="10"/>
      <c r="I52" s="11" t="n">
        <f aca="false">IFERROR(F52/E52,0)</f>
        <v>0</v>
      </c>
      <c r="J52" s="10" t="n">
        <f aca="false">IFERROR(D52/F52,0)</f>
        <v>0</v>
      </c>
      <c r="K52" s="11" t="n">
        <f aca="false">IFERROR(G52/F52,0)</f>
        <v>0</v>
      </c>
      <c r="L52" s="12" t="n">
        <f aca="false">IFERROR(H52/D52,0)</f>
        <v>0</v>
      </c>
      <c r="M52" s="9" t="n">
        <f aca="false">IFERROR(YEAR(A52),"")</f>
        <v>1899</v>
      </c>
      <c r="N52" s="9" t="n">
        <f aca="false">IFERROR(MONTH(A52),"")</f>
        <v>12</v>
      </c>
    </row>
    <row r="53" customFormat="false" ht="15" hidden="false" customHeight="false" outlineLevel="0" collapsed="false">
      <c r="A53" s="8"/>
      <c r="B53" s="9"/>
      <c r="C53" s="9"/>
      <c r="D53" s="10"/>
      <c r="E53" s="9"/>
      <c r="F53" s="9"/>
      <c r="G53" s="9"/>
      <c r="H53" s="10"/>
      <c r="I53" s="11" t="n">
        <f aca="false">IFERROR(F53/E53,0)</f>
        <v>0</v>
      </c>
      <c r="J53" s="10" t="n">
        <f aca="false">IFERROR(D53/F53,0)</f>
        <v>0</v>
      </c>
      <c r="K53" s="11" t="n">
        <f aca="false">IFERROR(G53/F53,0)</f>
        <v>0</v>
      </c>
      <c r="L53" s="12" t="n">
        <f aca="false">IFERROR(H53/D53,0)</f>
        <v>0</v>
      </c>
      <c r="M53" s="9" t="n">
        <f aca="false">IFERROR(YEAR(A53),"")</f>
        <v>1899</v>
      </c>
      <c r="N53" s="9" t="n">
        <f aca="false">IFERROR(MONTH(A53),"")</f>
        <v>12</v>
      </c>
    </row>
    <row r="54" customFormat="false" ht="15" hidden="false" customHeight="false" outlineLevel="0" collapsed="false">
      <c r="A54" s="8"/>
      <c r="B54" s="9"/>
      <c r="C54" s="9"/>
      <c r="D54" s="10"/>
      <c r="E54" s="9"/>
      <c r="F54" s="9"/>
      <c r="G54" s="9"/>
      <c r="H54" s="10"/>
      <c r="I54" s="11" t="n">
        <f aca="false">IFERROR(F54/E54,0)</f>
        <v>0</v>
      </c>
      <c r="J54" s="10" t="n">
        <f aca="false">IFERROR(D54/F54,0)</f>
        <v>0</v>
      </c>
      <c r="K54" s="11" t="n">
        <f aca="false">IFERROR(G54/F54,0)</f>
        <v>0</v>
      </c>
      <c r="L54" s="12" t="n">
        <f aca="false">IFERROR(H54/D54,0)</f>
        <v>0</v>
      </c>
      <c r="M54" s="9" t="n">
        <f aca="false">IFERROR(YEAR(A54),"")</f>
        <v>1899</v>
      </c>
      <c r="N54" s="9" t="n">
        <f aca="false">IFERROR(MONTH(A54),"")</f>
        <v>12</v>
      </c>
    </row>
    <row r="55" customFormat="false" ht="15" hidden="false" customHeight="false" outlineLevel="0" collapsed="false">
      <c r="A55" s="8"/>
      <c r="B55" s="9"/>
      <c r="C55" s="9"/>
      <c r="D55" s="10"/>
      <c r="E55" s="9"/>
      <c r="F55" s="9"/>
      <c r="G55" s="9"/>
      <c r="H55" s="10"/>
      <c r="I55" s="11" t="n">
        <f aca="false">IFERROR(F55/E55,0)</f>
        <v>0</v>
      </c>
      <c r="J55" s="10" t="n">
        <f aca="false">IFERROR(D55/F55,0)</f>
        <v>0</v>
      </c>
      <c r="K55" s="11" t="n">
        <f aca="false">IFERROR(G55/F55,0)</f>
        <v>0</v>
      </c>
      <c r="L55" s="12" t="n">
        <f aca="false">IFERROR(H55/D55,0)</f>
        <v>0</v>
      </c>
      <c r="M55" s="9" t="n">
        <f aca="false">IFERROR(YEAR(A55),"")</f>
        <v>1899</v>
      </c>
      <c r="N55" s="9" t="n">
        <f aca="false">IFERROR(MONTH(A55),"")</f>
        <v>12</v>
      </c>
    </row>
    <row r="56" customFormat="false" ht="15" hidden="false" customHeight="false" outlineLevel="0" collapsed="false">
      <c r="A56" s="8"/>
      <c r="B56" s="9"/>
      <c r="C56" s="9"/>
      <c r="D56" s="10"/>
      <c r="E56" s="9"/>
      <c r="F56" s="9"/>
      <c r="G56" s="9"/>
      <c r="H56" s="10"/>
      <c r="I56" s="11" t="n">
        <f aca="false">IFERROR(F56/E56,0)</f>
        <v>0</v>
      </c>
      <c r="J56" s="10" t="n">
        <f aca="false">IFERROR(D56/F56,0)</f>
        <v>0</v>
      </c>
      <c r="K56" s="11" t="n">
        <f aca="false">IFERROR(G56/F56,0)</f>
        <v>0</v>
      </c>
      <c r="L56" s="12" t="n">
        <f aca="false">IFERROR(H56/D56,0)</f>
        <v>0</v>
      </c>
      <c r="M56" s="9" t="n">
        <f aca="false">IFERROR(YEAR(A56),"")</f>
        <v>1899</v>
      </c>
      <c r="N56" s="9" t="n">
        <f aca="false">IFERROR(MONTH(A56),"")</f>
        <v>12</v>
      </c>
    </row>
    <row r="57" customFormat="false" ht="15" hidden="false" customHeight="false" outlineLevel="0" collapsed="false">
      <c r="A57" s="8"/>
      <c r="B57" s="9"/>
      <c r="C57" s="9"/>
      <c r="D57" s="10"/>
      <c r="E57" s="9"/>
      <c r="F57" s="9"/>
      <c r="G57" s="9"/>
      <c r="H57" s="10"/>
      <c r="I57" s="11" t="n">
        <f aca="false">IFERROR(F57/E57,0)</f>
        <v>0</v>
      </c>
      <c r="J57" s="10" t="n">
        <f aca="false">IFERROR(D57/F57,0)</f>
        <v>0</v>
      </c>
      <c r="K57" s="11" t="n">
        <f aca="false">IFERROR(G57/F57,0)</f>
        <v>0</v>
      </c>
      <c r="L57" s="12" t="n">
        <f aca="false">IFERROR(H57/D57,0)</f>
        <v>0</v>
      </c>
      <c r="M57" s="9" t="n">
        <f aca="false">IFERROR(YEAR(A57),"")</f>
        <v>1899</v>
      </c>
      <c r="N57" s="9" t="n">
        <f aca="false">IFERROR(MONTH(A57),"")</f>
        <v>12</v>
      </c>
    </row>
    <row r="58" customFormat="false" ht="15" hidden="false" customHeight="false" outlineLevel="0" collapsed="false">
      <c r="A58" s="8"/>
      <c r="B58" s="9"/>
      <c r="C58" s="9"/>
      <c r="D58" s="10"/>
      <c r="E58" s="9"/>
      <c r="F58" s="9"/>
      <c r="G58" s="9"/>
      <c r="H58" s="10"/>
      <c r="I58" s="11" t="n">
        <f aca="false">IFERROR(F58/E58,0)</f>
        <v>0</v>
      </c>
      <c r="J58" s="10" t="n">
        <f aca="false">IFERROR(D58/F58,0)</f>
        <v>0</v>
      </c>
      <c r="K58" s="11" t="n">
        <f aca="false">IFERROR(G58/F58,0)</f>
        <v>0</v>
      </c>
      <c r="L58" s="12" t="n">
        <f aca="false">IFERROR(H58/D58,0)</f>
        <v>0</v>
      </c>
      <c r="M58" s="9" t="n">
        <f aca="false">IFERROR(YEAR(A58),"")</f>
        <v>1899</v>
      </c>
      <c r="N58" s="9" t="n">
        <f aca="false">IFERROR(MONTH(A58),"")</f>
        <v>12</v>
      </c>
    </row>
    <row r="59" customFormat="false" ht="15" hidden="false" customHeight="false" outlineLevel="0" collapsed="false">
      <c r="A59" s="8"/>
      <c r="B59" s="9"/>
      <c r="C59" s="9"/>
      <c r="D59" s="10"/>
      <c r="E59" s="9"/>
      <c r="F59" s="9"/>
      <c r="G59" s="9"/>
      <c r="H59" s="10"/>
      <c r="I59" s="11" t="n">
        <f aca="false">IFERROR(F59/E59,0)</f>
        <v>0</v>
      </c>
      <c r="J59" s="10" t="n">
        <f aca="false">IFERROR(D59/F59,0)</f>
        <v>0</v>
      </c>
      <c r="K59" s="11" t="n">
        <f aca="false">IFERROR(G59/F59,0)</f>
        <v>0</v>
      </c>
      <c r="L59" s="12" t="n">
        <f aca="false">IFERROR(H59/D59,0)</f>
        <v>0</v>
      </c>
      <c r="M59" s="9" t="n">
        <f aca="false">IFERROR(YEAR(A59),"")</f>
        <v>1899</v>
      </c>
      <c r="N59" s="9" t="n">
        <f aca="false">IFERROR(MONTH(A59),"")</f>
        <v>12</v>
      </c>
    </row>
    <row r="60" customFormat="false" ht="15" hidden="false" customHeight="false" outlineLevel="0" collapsed="false">
      <c r="A60" s="8"/>
      <c r="B60" s="9"/>
      <c r="C60" s="9"/>
      <c r="D60" s="10"/>
      <c r="E60" s="9"/>
      <c r="F60" s="9"/>
      <c r="G60" s="9"/>
      <c r="H60" s="10"/>
      <c r="I60" s="11" t="n">
        <f aca="false">IFERROR(F60/E60,0)</f>
        <v>0</v>
      </c>
      <c r="J60" s="10" t="n">
        <f aca="false">IFERROR(D60/F60,0)</f>
        <v>0</v>
      </c>
      <c r="K60" s="11" t="n">
        <f aca="false">IFERROR(G60/F60,0)</f>
        <v>0</v>
      </c>
      <c r="L60" s="12" t="n">
        <f aca="false">IFERROR(H60/D60,0)</f>
        <v>0</v>
      </c>
      <c r="M60" s="9" t="n">
        <f aca="false">IFERROR(YEAR(A60),"")</f>
        <v>1899</v>
      </c>
      <c r="N60" s="9" t="n">
        <f aca="false">IFERROR(MONTH(A60),"")</f>
        <v>12</v>
      </c>
    </row>
    <row r="61" customFormat="false" ht="15" hidden="false" customHeight="false" outlineLevel="0" collapsed="false">
      <c r="A61" s="8"/>
      <c r="B61" s="9"/>
      <c r="C61" s="9"/>
      <c r="D61" s="10"/>
      <c r="E61" s="9"/>
      <c r="F61" s="9"/>
      <c r="G61" s="9"/>
      <c r="H61" s="10"/>
      <c r="I61" s="11" t="n">
        <f aca="false">IFERROR(F61/E61,0)</f>
        <v>0</v>
      </c>
      <c r="J61" s="10" t="n">
        <f aca="false">IFERROR(D61/F61,0)</f>
        <v>0</v>
      </c>
      <c r="K61" s="11" t="n">
        <f aca="false">IFERROR(G61/F61,0)</f>
        <v>0</v>
      </c>
      <c r="L61" s="12" t="n">
        <f aca="false">IFERROR(H61/D61,0)</f>
        <v>0</v>
      </c>
      <c r="M61" s="9" t="n">
        <f aca="false">IFERROR(YEAR(A61),"")</f>
        <v>1899</v>
      </c>
      <c r="N61" s="9" t="n">
        <f aca="false">IFERROR(MONTH(A61),"")</f>
        <v>12</v>
      </c>
    </row>
    <row r="62" customFormat="false" ht="15" hidden="false" customHeight="false" outlineLevel="0" collapsed="false">
      <c r="A62" s="8"/>
      <c r="B62" s="9"/>
      <c r="C62" s="9"/>
      <c r="D62" s="10"/>
      <c r="E62" s="9"/>
      <c r="F62" s="9"/>
      <c r="G62" s="9"/>
      <c r="H62" s="10"/>
      <c r="I62" s="11" t="n">
        <f aca="false">IFERROR(F62/E62,0)</f>
        <v>0</v>
      </c>
      <c r="J62" s="10" t="n">
        <f aca="false">IFERROR(D62/F62,0)</f>
        <v>0</v>
      </c>
      <c r="K62" s="11" t="n">
        <f aca="false">IFERROR(G62/F62,0)</f>
        <v>0</v>
      </c>
      <c r="L62" s="12" t="n">
        <f aca="false">IFERROR(H62/D62,0)</f>
        <v>0</v>
      </c>
      <c r="M62" s="9" t="n">
        <f aca="false">IFERROR(YEAR(A62),"")</f>
        <v>1899</v>
      </c>
      <c r="N62" s="9" t="n">
        <f aca="false">IFERROR(MONTH(A62),"")</f>
        <v>12</v>
      </c>
    </row>
    <row r="63" customFormat="false" ht="15" hidden="false" customHeight="false" outlineLevel="0" collapsed="false">
      <c r="A63" s="8"/>
      <c r="B63" s="9"/>
      <c r="C63" s="9"/>
      <c r="D63" s="10"/>
      <c r="E63" s="9"/>
      <c r="F63" s="9"/>
      <c r="G63" s="9"/>
      <c r="H63" s="10"/>
      <c r="I63" s="11" t="n">
        <f aca="false">IFERROR(F63/E63,0)</f>
        <v>0</v>
      </c>
      <c r="J63" s="10" t="n">
        <f aca="false">IFERROR(D63/F63,0)</f>
        <v>0</v>
      </c>
      <c r="K63" s="11" t="n">
        <f aca="false">IFERROR(G63/F63,0)</f>
        <v>0</v>
      </c>
      <c r="L63" s="12" t="n">
        <f aca="false">IFERROR(H63/D63,0)</f>
        <v>0</v>
      </c>
      <c r="M63" s="9" t="n">
        <f aca="false">IFERROR(YEAR(A63),"")</f>
        <v>1899</v>
      </c>
      <c r="N63" s="9" t="n">
        <f aca="false">IFERROR(MONTH(A63),"")</f>
        <v>12</v>
      </c>
    </row>
    <row r="64" customFormat="false" ht="15" hidden="false" customHeight="false" outlineLevel="0" collapsed="false">
      <c r="A64" s="8"/>
      <c r="B64" s="9"/>
      <c r="C64" s="9"/>
      <c r="D64" s="10"/>
      <c r="E64" s="9"/>
      <c r="F64" s="9"/>
      <c r="G64" s="9"/>
      <c r="H64" s="10"/>
      <c r="I64" s="11" t="n">
        <f aca="false">IFERROR(F64/E64,0)</f>
        <v>0</v>
      </c>
      <c r="J64" s="10" t="n">
        <f aca="false">IFERROR(D64/F64,0)</f>
        <v>0</v>
      </c>
      <c r="K64" s="11" t="n">
        <f aca="false">IFERROR(G64/F64,0)</f>
        <v>0</v>
      </c>
      <c r="L64" s="12" t="n">
        <f aca="false">IFERROR(H64/D64,0)</f>
        <v>0</v>
      </c>
      <c r="M64" s="9" t="n">
        <f aca="false">IFERROR(YEAR(A64),"")</f>
        <v>1899</v>
      </c>
      <c r="N64" s="9" t="n">
        <f aca="false">IFERROR(MONTH(A64),"")</f>
        <v>12</v>
      </c>
    </row>
    <row r="65" customFormat="false" ht="15" hidden="false" customHeight="false" outlineLevel="0" collapsed="false">
      <c r="A65" s="8"/>
      <c r="B65" s="9"/>
      <c r="C65" s="9"/>
      <c r="D65" s="10"/>
      <c r="E65" s="9"/>
      <c r="F65" s="9"/>
      <c r="G65" s="9"/>
      <c r="H65" s="10"/>
      <c r="I65" s="11" t="n">
        <f aca="false">IFERROR(F65/E65,0)</f>
        <v>0</v>
      </c>
      <c r="J65" s="10" t="n">
        <f aca="false">IFERROR(D65/F65,0)</f>
        <v>0</v>
      </c>
      <c r="K65" s="11" t="n">
        <f aca="false">IFERROR(G65/F65,0)</f>
        <v>0</v>
      </c>
      <c r="L65" s="12" t="n">
        <f aca="false">IFERROR(H65/D65,0)</f>
        <v>0</v>
      </c>
      <c r="M65" s="9" t="n">
        <f aca="false">IFERROR(YEAR(A65),"")</f>
        <v>1899</v>
      </c>
      <c r="N65" s="9" t="n">
        <f aca="false">IFERROR(MONTH(A65),"")</f>
        <v>12</v>
      </c>
    </row>
    <row r="66" customFormat="false" ht="15" hidden="false" customHeight="false" outlineLevel="0" collapsed="false">
      <c r="A66" s="8"/>
      <c r="B66" s="9"/>
      <c r="C66" s="9"/>
      <c r="D66" s="10"/>
      <c r="E66" s="9"/>
      <c r="F66" s="9"/>
      <c r="G66" s="9"/>
      <c r="H66" s="10"/>
      <c r="I66" s="11" t="n">
        <f aca="false">IFERROR(F66/E66,0)</f>
        <v>0</v>
      </c>
      <c r="J66" s="10" t="n">
        <f aca="false">IFERROR(D66/F66,0)</f>
        <v>0</v>
      </c>
      <c r="K66" s="11" t="n">
        <f aca="false">IFERROR(G66/F66,0)</f>
        <v>0</v>
      </c>
      <c r="L66" s="12" t="n">
        <f aca="false">IFERROR(H66/D66,0)</f>
        <v>0</v>
      </c>
      <c r="M66" s="9" t="n">
        <f aca="false">IFERROR(YEAR(A66),"")</f>
        <v>1899</v>
      </c>
      <c r="N66" s="9" t="n">
        <f aca="false">IFERROR(MONTH(A66),"")</f>
        <v>12</v>
      </c>
    </row>
    <row r="67" customFormat="false" ht="15" hidden="false" customHeight="false" outlineLevel="0" collapsed="false">
      <c r="A67" s="8"/>
      <c r="B67" s="9"/>
      <c r="C67" s="9"/>
      <c r="D67" s="10"/>
      <c r="E67" s="9"/>
      <c r="F67" s="9"/>
      <c r="G67" s="9"/>
      <c r="H67" s="10"/>
      <c r="I67" s="11" t="n">
        <f aca="false">IFERROR(F67/E67,0)</f>
        <v>0</v>
      </c>
      <c r="J67" s="10" t="n">
        <f aca="false">IFERROR(D67/F67,0)</f>
        <v>0</v>
      </c>
      <c r="K67" s="11" t="n">
        <f aca="false">IFERROR(G67/F67,0)</f>
        <v>0</v>
      </c>
      <c r="L67" s="12" t="n">
        <f aca="false">IFERROR(H67/D67,0)</f>
        <v>0</v>
      </c>
      <c r="M67" s="9" t="n">
        <f aca="false">IFERROR(YEAR(A67),"")</f>
        <v>1899</v>
      </c>
      <c r="N67" s="9" t="n">
        <f aca="false">IFERROR(MONTH(A67),"")</f>
        <v>12</v>
      </c>
    </row>
    <row r="68" customFormat="false" ht="15" hidden="false" customHeight="false" outlineLevel="0" collapsed="false">
      <c r="A68" s="8"/>
      <c r="B68" s="9"/>
      <c r="C68" s="9"/>
      <c r="D68" s="10"/>
      <c r="E68" s="9"/>
      <c r="F68" s="9"/>
      <c r="G68" s="9"/>
      <c r="H68" s="10"/>
      <c r="I68" s="11" t="n">
        <f aca="false">IFERROR(F68/E68,0)</f>
        <v>0</v>
      </c>
      <c r="J68" s="10" t="n">
        <f aca="false">IFERROR(D68/F68,0)</f>
        <v>0</v>
      </c>
      <c r="K68" s="11" t="n">
        <f aca="false">IFERROR(G68/F68,0)</f>
        <v>0</v>
      </c>
      <c r="L68" s="12" t="n">
        <f aca="false">IFERROR(H68/D68,0)</f>
        <v>0</v>
      </c>
      <c r="M68" s="9" t="n">
        <f aca="false">IFERROR(YEAR(A68),"")</f>
        <v>1899</v>
      </c>
      <c r="N68" s="9" t="n">
        <f aca="false">IFERROR(MONTH(A68),"")</f>
        <v>12</v>
      </c>
    </row>
    <row r="69" customFormat="false" ht="15" hidden="false" customHeight="false" outlineLevel="0" collapsed="false">
      <c r="A69" s="8"/>
      <c r="B69" s="9"/>
      <c r="C69" s="9"/>
      <c r="D69" s="10"/>
      <c r="E69" s="9"/>
      <c r="F69" s="9"/>
      <c r="G69" s="9"/>
      <c r="H69" s="10"/>
      <c r="I69" s="11" t="n">
        <f aca="false">IFERROR(F69/E69,0)</f>
        <v>0</v>
      </c>
      <c r="J69" s="10" t="n">
        <f aca="false">IFERROR(D69/F69,0)</f>
        <v>0</v>
      </c>
      <c r="K69" s="11" t="n">
        <f aca="false">IFERROR(G69/F69,0)</f>
        <v>0</v>
      </c>
      <c r="L69" s="12" t="n">
        <f aca="false">IFERROR(H69/D69,0)</f>
        <v>0</v>
      </c>
      <c r="M69" s="9" t="n">
        <f aca="false">IFERROR(YEAR(A69),"")</f>
        <v>1899</v>
      </c>
      <c r="N69" s="9" t="n">
        <f aca="false">IFERROR(MONTH(A69),"")</f>
        <v>12</v>
      </c>
    </row>
    <row r="70" customFormat="false" ht="15" hidden="false" customHeight="false" outlineLevel="0" collapsed="false">
      <c r="A70" s="8"/>
      <c r="B70" s="9"/>
      <c r="C70" s="9"/>
      <c r="D70" s="10"/>
      <c r="E70" s="9"/>
      <c r="F70" s="9"/>
      <c r="G70" s="9"/>
      <c r="H70" s="10"/>
      <c r="I70" s="11" t="n">
        <f aca="false">IFERROR(F70/E70,0)</f>
        <v>0</v>
      </c>
      <c r="J70" s="10" t="n">
        <f aca="false">IFERROR(D70/F70,0)</f>
        <v>0</v>
      </c>
      <c r="K70" s="11" t="n">
        <f aca="false">IFERROR(G70/F70,0)</f>
        <v>0</v>
      </c>
      <c r="L70" s="12" t="n">
        <f aca="false">IFERROR(H70/D70,0)</f>
        <v>0</v>
      </c>
      <c r="M70" s="9" t="n">
        <f aca="false">IFERROR(YEAR(A70),"")</f>
        <v>1899</v>
      </c>
      <c r="N70" s="9" t="n">
        <f aca="false">IFERROR(MONTH(A70),"")</f>
        <v>12</v>
      </c>
    </row>
    <row r="71" customFormat="false" ht="15" hidden="false" customHeight="false" outlineLevel="0" collapsed="false">
      <c r="A71" s="8"/>
      <c r="B71" s="9"/>
      <c r="C71" s="9"/>
      <c r="D71" s="10"/>
      <c r="E71" s="9"/>
      <c r="F71" s="9"/>
      <c r="G71" s="9"/>
      <c r="H71" s="10"/>
      <c r="I71" s="11" t="n">
        <f aca="false">IFERROR(F71/E71,0)</f>
        <v>0</v>
      </c>
      <c r="J71" s="10" t="n">
        <f aca="false">IFERROR(D71/F71,0)</f>
        <v>0</v>
      </c>
      <c r="K71" s="11" t="n">
        <f aca="false">IFERROR(G71/F71,0)</f>
        <v>0</v>
      </c>
      <c r="L71" s="12" t="n">
        <f aca="false">IFERROR(H71/D71,0)</f>
        <v>0</v>
      </c>
      <c r="M71" s="9" t="n">
        <f aca="false">IFERROR(YEAR(A71),"")</f>
        <v>1899</v>
      </c>
      <c r="N71" s="9" t="n">
        <f aca="false">IFERROR(MONTH(A71),"")</f>
        <v>12</v>
      </c>
    </row>
    <row r="72" customFormat="false" ht="15" hidden="false" customHeight="false" outlineLevel="0" collapsed="false">
      <c r="A72" s="8"/>
      <c r="B72" s="9"/>
      <c r="C72" s="9"/>
      <c r="D72" s="10"/>
      <c r="E72" s="9"/>
      <c r="F72" s="9"/>
      <c r="G72" s="9"/>
      <c r="H72" s="10"/>
      <c r="I72" s="11" t="n">
        <f aca="false">IFERROR(F72/E72,0)</f>
        <v>0</v>
      </c>
      <c r="J72" s="10" t="n">
        <f aca="false">IFERROR(D72/F72,0)</f>
        <v>0</v>
      </c>
      <c r="K72" s="11" t="n">
        <f aca="false">IFERROR(G72/F72,0)</f>
        <v>0</v>
      </c>
      <c r="L72" s="12" t="n">
        <f aca="false">IFERROR(H72/D72,0)</f>
        <v>0</v>
      </c>
      <c r="M72" s="9" t="n">
        <f aca="false">IFERROR(YEAR(A72),"")</f>
        <v>1899</v>
      </c>
      <c r="N72" s="9" t="n">
        <f aca="false">IFERROR(MONTH(A72),"")</f>
        <v>12</v>
      </c>
    </row>
    <row r="73" customFormat="false" ht="15" hidden="false" customHeight="false" outlineLevel="0" collapsed="false">
      <c r="A73" s="8"/>
      <c r="B73" s="9"/>
      <c r="C73" s="9"/>
      <c r="D73" s="10"/>
      <c r="E73" s="9"/>
      <c r="F73" s="9"/>
      <c r="G73" s="9"/>
      <c r="H73" s="10"/>
      <c r="I73" s="11" t="n">
        <f aca="false">IFERROR(F73/E73,0)</f>
        <v>0</v>
      </c>
      <c r="J73" s="10" t="n">
        <f aca="false">IFERROR(D73/F73,0)</f>
        <v>0</v>
      </c>
      <c r="K73" s="11" t="n">
        <f aca="false">IFERROR(G73/F73,0)</f>
        <v>0</v>
      </c>
      <c r="L73" s="12" t="n">
        <f aca="false">IFERROR(H73/D73,0)</f>
        <v>0</v>
      </c>
      <c r="M73" s="9" t="n">
        <f aca="false">IFERROR(YEAR(A73),"")</f>
        <v>1899</v>
      </c>
      <c r="N73" s="9" t="n">
        <f aca="false">IFERROR(MONTH(A73),"")</f>
        <v>12</v>
      </c>
    </row>
    <row r="74" customFormat="false" ht="15" hidden="false" customHeight="false" outlineLevel="0" collapsed="false">
      <c r="A74" s="8"/>
      <c r="B74" s="9"/>
      <c r="C74" s="9"/>
      <c r="D74" s="10"/>
      <c r="E74" s="9"/>
      <c r="F74" s="9"/>
      <c r="G74" s="9"/>
      <c r="H74" s="10"/>
      <c r="I74" s="11" t="n">
        <f aca="false">IFERROR(F74/E74,0)</f>
        <v>0</v>
      </c>
      <c r="J74" s="10" t="n">
        <f aca="false">IFERROR(D74/F74,0)</f>
        <v>0</v>
      </c>
      <c r="K74" s="11" t="n">
        <f aca="false">IFERROR(G74/F74,0)</f>
        <v>0</v>
      </c>
      <c r="L74" s="12" t="n">
        <f aca="false">IFERROR(H74/D74,0)</f>
        <v>0</v>
      </c>
      <c r="M74" s="9" t="n">
        <f aca="false">IFERROR(YEAR(A74),"")</f>
        <v>1899</v>
      </c>
      <c r="N74" s="9" t="n">
        <f aca="false">IFERROR(MONTH(A74),"")</f>
        <v>12</v>
      </c>
    </row>
    <row r="75" customFormat="false" ht="15" hidden="false" customHeight="false" outlineLevel="0" collapsed="false">
      <c r="A75" s="8"/>
      <c r="B75" s="9"/>
      <c r="C75" s="9"/>
      <c r="D75" s="10"/>
      <c r="E75" s="9"/>
      <c r="F75" s="9"/>
      <c r="G75" s="9"/>
      <c r="H75" s="10"/>
      <c r="I75" s="11" t="n">
        <f aca="false">IFERROR(F75/E75,0)</f>
        <v>0</v>
      </c>
      <c r="J75" s="10" t="n">
        <f aca="false">IFERROR(D75/F75,0)</f>
        <v>0</v>
      </c>
      <c r="K75" s="11" t="n">
        <f aca="false">IFERROR(G75/F75,0)</f>
        <v>0</v>
      </c>
      <c r="L75" s="12" t="n">
        <f aca="false">IFERROR(H75/D75,0)</f>
        <v>0</v>
      </c>
      <c r="M75" s="9" t="n">
        <f aca="false">IFERROR(YEAR(A75),"")</f>
        <v>1899</v>
      </c>
      <c r="N75" s="9" t="n">
        <f aca="false">IFERROR(MONTH(A75),"")</f>
        <v>12</v>
      </c>
    </row>
    <row r="76" customFormat="false" ht="15" hidden="false" customHeight="false" outlineLevel="0" collapsed="false">
      <c r="A76" s="8"/>
      <c r="B76" s="9"/>
      <c r="C76" s="9"/>
      <c r="D76" s="10"/>
      <c r="E76" s="9"/>
      <c r="F76" s="9"/>
      <c r="G76" s="9"/>
      <c r="H76" s="10"/>
      <c r="I76" s="11" t="n">
        <f aca="false">IFERROR(F76/E76,0)</f>
        <v>0</v>
      </c>
      <c r="J76" s="10" t="n">
        <f aca="false">IFERROR(D76/F76,0)</f>
        <v>0</v>
      </c>
      <c r="K76" s="11" t="n">
        <f aca="false">IFERROR(G76/F76,0)</f>
        <v>0</v>
      </c>
      <c r="L76" s="12" t="n">
        <f aca="false">IFERROR(H76/D76,0)</f>
        <v>0</v>
      </c>
      <c r="M76" s="9" t="n">
        <f aca="false">IFERROR(YEAR(A76),"")</f>
        <v>1899</v>
      </c>
      <c r="N76" s="9" t="n">
        <f aca="false">IFERROR(MONTH(A76),"")</f>
        <v>12</v>
      </c>
    </row>
    <row r="77" customFormat="false" ht="15" hidden="false" customHeight="false" outlineLevel="0" collapsed="false">
      <c r="A77" s="8"/>
      <c r="B77" s="9"/>
      <c r="C77" s="9"/>
      <c r="D77" s="10"/>
      <c r="E77" s="9"/>
      <c r="F77" s="9"/>
      <c r="G77" s="9"/>
      <c r="H77" s="10"/>
      <c r="I77" s="11" t="n">
        <f aca="false">IFERROR(F77/E77,0)</f>
        <v>0</v>
      </c>
      <c r="J77" s="10" t="n">
        <f aca="false">IFERROR(D77/F77,0)</f>
        <v>0</v>
      </c>
      <c r="K77" s="11" t="n">
        <f aca="false">IFERROR(G77/F77,0)</f>
        <v>0</v>
      </c>
      <c r="L77" s="12" t="n">
        <f aca="false">IFERROR(H77/D77,0)</f>
        <v>0</v>
      </c>
      <c r="M77" s="9" t="n">
        <f aca="false">IFERROR(YEAR(A77),"")</f>
        <v>1899</v>
      </c>
      <c r="N77" s="9" t="n">
        <f aca="false">IFERROR(MONTH(A77),"")</f>
        <v>12</v>
      </c>
    </row>
    <row r="78" customFormat="false" ht="15" hidden="false" customHeight="false" outlineLevel="0" collapsed="false">
      <c r="A78" s="8"/>
      <c r="B78" s="9"/>
      <c r="C78" s="9"/>
      <c r="D78" s="10"/>
      <c r="E78" s="9"/>
      <c r="F78" s="9"/>
      <c r="G78" s="9"/>
      <c r="H78" s="10"/>
      <c r="I78" s="11" t="n">
        <f aca="false">IFERROR(F78/E78,0)</f>
        <v>0</v>
      </c>
      <c r="J78" s="10" t="n">
        <f aca="false">IFERROR(D78/F78,0)</f>
        <v>0</v>
      </c>
      <c r="K78" s="11" t="n">
        <f aca="false">IFERROR(G78/F78,0)</f>
        <v>0</v>
      </c>
      <c r="L78" s="12" t="n">
        <f aca="false">IFERROR(H78/D78,0)</f>
        <v>0</v>
      </c>
      <c r="M78" s="9" t="n">
        <f aca="false">IFERROR(YEAR(A78),"")</f>
        <v>1899</v>
      </c>
      <c r="N78" s="9" t="n">
        <f aca="false">IFERROR(MONTH(A78),"")</f>
        <v>12</v>
      </c>
    </row>
    <row r="79" customFormat="false" ht="15" hidden="false" customHeight="false" outlineLevel="0" collapsed="false">
      <c r="A79" s="8"/>
      <c r="B79" s="9"/>
      <c r="C79" s="9"/>
      <c r="D79" s="10"/>
      <c r="E79" s="9"/>
      <c r="F79" s="9"/>
      <c r="G79" s="9"/>
      <c r="H79" s="10"/>
      <c r="I79" s="11" t="n">
        <f aca="false">IFERROR(F79/E79,0)</f>
        <v>0</v>
      </c>
      <c r="J79" s="10" t="n">
        <f aca="false">IFERROR(D79/F79,0)</f>
        <v>0</v>
      </c>
      <c r="K79" s="11" t="n">
        <f aca="false">IFERROR(G79/F79,0)</f>
        <v>0</v>
      </c>
      <c r="L79" s="12" t="n">
        <f aca="false">IFERROR(H79/D79,0)</f>
        <v>0</v>
      </c>
      <c r="M79" s="9" t="n">
        <f aca="false">IFERROR(YEAR(A79),"")</f>
        <v>1899</v>
      </c>
      <c r="N79" s="9" t="n">
        <f aca="false">IFERROR(MONTH(A79),"")</f>
        <v>12</v>
      </c>
    </row>
    <row r="80" customFormat="false" ht="15" hidden="false" customHeight="false" outlineLevel="0" collapsed="false">
      <c r="A80" s="8"/>
      <c r="B80" s="9"/>
      <c r="C80" s="9"/>
      <c r="D80" s="10"/>
      <c r="E80" s="9"/>
      <c r="F80" s="9"/>
      <c r="G80" s="9"/>
      <c r="H80" s="10"/>
      <c r="I80" s="11" t="n">
        <f aca="false">IFERROR(F80/E80,0)</f>
        <v>0</v>
      </c>
      <c r="J80" s="10" t="n">
        <f aca="false">IFERROR(D80/F80,0)</f>
        <v>0</v>
      </c>
      <c r="K80" s="11" t="n">
        <f aca="false">IFERROR(G80/F80,0)</f>
        <v>0</v>
      </c>
      <c r="L80" s="12" t="n">
        <f aca="false">IFERROR(H80/D80,0)</f>
        <v>0</v>
      </c>
      <c r="M80" s="9" t="n">
        <f aca="false">IFERROR(YEAR(A80),"")</f>
        <v>1899</v>
      </c>
      <c r="N80" s="9" t="n">
        <f aca="false">IFERROR(MONTH(A80),"")</f>
        <v>12</v>
      </c>
    </row>
    <row r="81" customFormat="false" ht="15" hidden="false" customHeight="false" outlineLevel="0" collapsed="false">
      <c r="A81" s="8"/>
      <c r="B81" s="9"/>
      <c r="C81" s="9"/>
      <c r="D81" s="10"/>
      <c r="E81" s="9"/>
      <c r="F81" s="9"/>
      <c r="G81" s="9"/>
      <c r="H81" s="10"/>
      <c r="I81" s="11" t="n">
        <f aca="false">IFERROR(F81/E81,0)</f>
        <v>0</v>
      </c>
      <c r="J81" s="10" t="n">
        <f aca="false">IFERROR(D81/F81,0)</f>
        <v>0</v>
      </c>
      <c r="K81" s="11" t="n">
        <f aca="false">IFERROR(G81/F81,0)</f>
        <v>0</v>
      </c>
      <c r="L81" s="12" t="n">
        <f aca="false">IFERROR(H81/D81,0)</f>
        <v>0</v>
      </c>
      <c r="M81" s="9" t="n">
        <f aca="false">IFERROR(YEAR(A81),"")</f>
        <v>1899</v>
      </c>
      <c r="N81" s="9" t="n">
        <f aca="false">IFERROR(MONTH(A81),"")</f>
        <v>12</v>
      </c>
    </row>
    <row r="82" customFormat="false" ht="15" hidden="false" customHeight="false" outlineLevel="0" collapsed="false">
      <c r="A82" s="8"/>
      <c r="B82" s="9"/>
      <c r="C82" s="9"/>
      <c r="D82" s="10"/>
      <c r="E82" s="9"/>
      <c r="F82" s="9"/>
      <c r="G82" s="9"/>
      <c r="H82" s="10"/>
      <c r="I82" s="11" t="n">
        <f aca="false">IFERROR(F82/E82,0)</f>
        <v>0</v>
      </c>
      <c r="J82" s="10" t="n">
        <f aca="false">IFERROR(D82/F82,0)</f>
        <v>0</v>
      </c>
      <c r="K82" s="11" t="n">
        <f aca="false">IFERROR(G82/F82,0)</f>
        <v>0</v>
      </c>
      <c r="L82" s="12" t="n">
        <f aca="false">IFERROR(H82/D82,0)</f>
        <v>0</v>
      </c>
      <c r="M82" s="9" t="n">
        <f aca="false">IFERROR(YEAR(A82),"")</f>
        <v>1899</v>
      </c>
      <c r="N82" s="9" t="n">
        <f aca="false">IFERROR(MONTH(A82),"")</f>
        <v>12</v>
      </c>
    </row>
    <row r="83" customFormat="false" ht="15" hidden="false" customHeight="false" outlineLevel="0" collapsed="false">
      <c r="A83" s="8"/>
      <c r="B83" s="9"/>
      <c r="C83" s="9"/>
      <c r="D83" s="10"/>
      <c r="E83" s="9"/>
      <c r="F83" s="9"/>
      <c r="G83" s="9"/>
      <c r="H83" s="10"/>
      <c r="I83" s="11" t="n">
        <f aca="false">IFERROR(F83/E83,0)</f>
        <v>0</v>
      </c>
      <c r="J83" s="10" t="n">
        <f aca="false">IFERROR(D83/F83,0)</f>
        <v>0</v>
      </c>
      <c r="K83" s="11" t="n">
        <f aca="false">IFERROR(G83/F83,0)</f>
        <v>0</v>
      </c>
      <c r="L83" s="12" t="n">
        <f aca="false">IFERROR(H83/D83,0)</f>
        <v>0</v>
      </c>
      <c r="M83" s="9" t="n">
        <f aca="false">IFERROR(YEAR(A83),"")</f>
        <v>1899</v>
      </c>
      <c r="N83" s="9" t="n">
        <f aca="false">IFERROR(MONTH(A83),"")</f>
        <v>12</v>
      </c>
    </row>
    <row r="84" customFormat="false" ht="15" hidden="false" customHeight="false" outlineLevel="0" collapsed="false">
      <c r="A84" s="8"/>
      <c r="B84" s="9"/>
      <c r="C84" s="9"/>
      <c r="D84" s="10"/>
      <c r="E84" s="9"/>
      <c r="F84" s="9"/>
      <c r="G84" s="9"/>
      <c r="H84" s="10"/>
      <c r="I84" s="11" t="n">
        <f aca="false">IFERROR(F84/E84,0)</f>
        <v>0</v>
      </c>
      <c r="J84" s="10" t="n">
        <f aca="false">IFERROR(D84/F84,0)</f>
        <v>0</v>
      </c>
      <c r="K84" s="11" t="n">
        <f aca="false">IFERROR(G84/F84,0)</f>
        <v>0</v>
      </c>
      <c r="L84" s="12" t="n">
        <f aca="false">IFERROR(H84/D84,0)</f>
        <v>0</v>
      </c>
      <c r="M84" s="9" t="n">
        <f aca="false">IFERROR(YEAR(A84),"")</f>
        <v>1899</v>
      </c>
      <c r="N84" s="9" t="n">
        <f aca="false">IFERROR(MONTH(A84),"")</f>
        <v>12</v>
      </c>
    </row>
    <row r="85" customFormat="false" ht="15" hidden="false" customHeight="false" outlineLevel="0" collapsed="false">
      <c r="A85" s="8"/>
      <c r="B85" s="9"/>
      <c r="C85" s="9"/>
      <c r="D85" s="10"/>
      <c r="E85" s="9"/>
      <c r="F85" s="9"/>
      <c r="G85" s="9"/>
      <c r="H85" s="10"/>
      <c r="I85" s="11" t="n">
        <f aca="false">IFERROR(F85/E85,0)</f>
        <v>0</v>
      </c>
      <c r="J85" s="10" t="n">
        <f aca="false">IFERROR(D85/F85,0)</f>
        <v>0</v>
      </c>
      <c r="K85" s="11" t="n">
        <f aca="false">IFERROR(G85/F85,0)</f>
        <v>0</v>
      </c>
      <c r="L85" s="12" t="n">
        <f aca="false">IFERROR(H85/D85,0)</f>
        <v>0</v>
      </c>
      <c r="M85" s="9" t="n">
        <f aca="false">IFERROR(YEAR(A85),"")</f>
        <v>1899</v>
      </c>
      <c r="N85" s="9" t="n">
        <f aca="false">IFERROR(MONTH(A85),"")</f>
        <v>12</v>
      </c>
    </row>
    <row r="86" customFormat="false" ht="15" hidden="false" customHeight="false" outlineLevel="0" collapsed="false">
      <c r="A86" s="8"/>
      <c r="B86" s="9"/>
      <c r="C86" s="9"/>
      <c r="D86" s="10"/>
      <c r="E86" s="9"/>
      <c r="F86" s="9"/>
      <c r="G86" s="9"/>
      <c r="H86" s="10"/>
      <c r="I86" s="11" t="n">
        <f aca="false">IFERROR(F86/E86,0)</f>
        <v>0</v>
      </c>
      <c r="J86" s="10" t="n">
        <f aca="false">IFERROR(D86/F86,0)</f>
        <v>0</v>
      </c>
      <c r="K86" s="11" t="n">
        <f aca="false">IFERROR(G86/F86,0)</f>
        <v>0</v>
      </c>
      <c r="L86" s="12" t="n">
        <f aca="false">IFERROR(H86/D86,0)</f>
        <v>0</v>
      </c>
      <c r="M86" s="9" t="n">
        <f aca="false">IFERROR(YEAR(A86),"")</f>
        <v>1899</v>
      </c>
      <c r="N86" s="9" t="n">
        <f aca="false">IFERROR(MONTH(A86),"")</f>
        <v>12</v>
      </c>
    </row>
    <row r="87" customFormat="false" ht="15" hidden="false" customHeight="false" outlineLevel="0" collapsed="false">
      <c r="A87" s="8"/>
      <c r="B87" s="9"/>
      <c r="C87" s="9"/>
      <c r="D87" s="10"/>
      <c r="E87" s="9"/>
      <c r="F87" s="9"/>
      <c r="G87" s="9"/>
      <c r="H87" s="10"/>
      <c r="I87" s="11" t="n">
        <f aca="false">IFERROR(F87/E87,0)</f>
        <v>0</v>
      </c>
      <c r="J87" s="10" t="n">
        <f aca="false">IFERROR(D87/F87,0)</f>
        <v>0</v>
      </c>
      <c r="K87" s="11" t="n">
        <f aca="false">IFERROR(G87/F87,0)</f>
        <v>0</v>
      </c>
      <c r="L87" s="12" t="n">
        <f aca="false">IFERROR(H87/D87,0)</f>
        <v>0</v>
      </c>
      <c r="M87" s="9" t="n">
        <f aca="false">IFERROR(YEAR(A87),"")</f>
        <v>1899</v>
      </c>
      <c r="N87" s="9" t="n">
        <f aca="false">IFERROR(MONTH(A87),"")</f>
        <v>12</v>
      </c>
    </row>
    <row r="88" customFormat="false" ht="15" hidden="false" customHeight="false" outlineLevel="0" collapsed="false">
      <c r="A88" s="8"/>
      <c r="B88" s="9"/>
      <c r="C88" s="9"/>
      <c r="D88" s="10"/>
      <c r="E88" s="9"/>
      <c r="F88" s="9"/>
      <c r="G88" s="9"/>
      <c r="H88" s="10"/>
      <c r="I88" s="11" t="n">
        <f aca="false">IFERROR(F88/E88,0)</f>
        <v>0</v>
      </c>
      <c r="J88" s="10" t="n">
        <f aca="false">IFERROR(D88/F88,0)</f>
        <v>0</v>
      </c>
      <c r="K88" s="11" t="n">
        <f aca="false">IFERROR(G88/F88,0)</f>
        <v>0</v>
      </c>
      <c r="L88" s="12" t="n">
        <f aca="false">IFERROR(H88/D88,0)</f>
        <v>0</v>
      </c>
      <c r="M88" s="9" t="n">
        <f aca="false">IFERROR(YEAR(A88),"")</f>
        <v>1899</v>
      </c>
      <c r="N88" s="9" t="n">
        <f aca="false">IFERROR(MONTH(A88),"")</f>
        <v>12</v>
      </c>
    </row>
    <row r="89" customFormat="false" ht="15" hidden="false" customHeight="false" outlineLevel="0" collapsed="false">
      <c r="A89" s="8"/>
      <c r="B89" s="9"/>
      <c r="C89" s="9"/>
      <c r="D89" s="10"/>
      <c r="E89" s="9"/>
      <c r="F89" s="9"/>
      <c r="G89" s="9"/>
      <c r="H89" s="10"/>
      <c r="I89" s="11" t="n">
        <f aca="false">IFERROR(F89/E89,0)</f>
        <v>0</v>
      </c>
      <c r="J89" s="10" t="n">
        <f aca="false">IFERROR(D89/F89,0)</f>
        <v>0</v>
      </c>
      <c r="K89" s="11" t="n">
        <f aca="false">IFERROR(G89/F89,0)</f>
        <v>0</v>
      </c>
      <c r="L89" s="12" t="n">
        <f aca="false">IFERROR(H89/D89,0)</f>
        <v>0</v>
      </c>
      <c r="M89" s="9" t="n">
        <f aca="false">IFERROR(YEAR(A89),"")</f>
        <v>1899</v>
      </c>
      <c r="N89" s="9" t="n">
        <f aca="false">IFERROR(MONTH(A89),"")</f>
        <v>12</v>
      </c>
    </row>
    <row r="90" customFormat="false" ht="15" hidden="false" customHeight="false" outlineLevel="0" collapsed="false">
      <c r="A90" s="8"/>
      <c r="B90" s="9"/>
      <c r="C90" s="9"/>
      <c r="D90" s="10"/>
      <c r="E90" s="9"/>
      <c r="F90" s="9"/>
      <c r="G90" s="9"/>
      <c r="H90" s="10"/>
      <c r="I90" s="11" t="n">
        <f aca="false">IFERROR(F90/E90,0)</f>
        <v>0</v>
      </c>
      <c r="J90" s="10" t="n">
        <f aca="false">IFERROR(D90/F90,0)</f>
        <v>0</v>
      </c>
      <c r="K90" s="11" t="n">
        <f aca="false">IFERROR(G90/F90,0)</f>
        <v>0</v>
      </c>
      <c r="L90" s="12" t="n">
        <f aca="false">IFERROR(H90/D90,0)</f>
        <v>0</v>
      </c>
      <c r="M90" s="9" t="n">
        <f aca="false">IFERROR(YEAR(A90),"")</f>
        <v>1899</v>
      </c>
      <c r="N90" s="9" t="n">
        <f aca="false">IFERROR(MONTH(A90),"")</f>
        <v>12</v>
      </c>
    </row>
    <row r="91" customFormat="false" ht="15" hidden="false" customHeight="false" outlineLevel="0" collapsed="false">
      <c r="A91" s="8"/>
      <c r="B91" s="9"/>
      <c r="C91" s="9"/>
      <c r="D91" s="10"/>
      <c r="E91" s="9"/>
      <c r="F91" s="9"/>
      <c r="G91" s="9"/>
      <c r="H91" s="10"/>
      <c r="I91" s="11" t="n">
        <f aca="false">IFERROR(F91/E91,0)</f>
        <v>0</v>
      </c>
      <c r="J91" s="10" t="n">
        <f aca="false">IFERROR(D91/F91,0)</f>
        <v>0</v>
      </c>
      <c r="K91" s="11" t="n">
        <f aca="false">IFERROR(G91/F91,0)</f>
        <v>0</v>
      </c>
      <c r="L91" s="12" t="n">
        <f aca="false">IFERROR(H91/D91,0)</f>
        <v>0</v>
      </c>
      <c r="M91" s="9" t="n">
        <f aca="false">IFERROR(YEAR(A91),"")</f>
        <v>1899</v>
      </c>
      <c r="N91" s="9" t="n">
        <f aca="false">IFERROR(MONTH(A91),"")</f>
        <v>12</v>
      </c>
    </row>
    <row r="92" customFormat="false" ht="15" hidden="false" customHeight="false" outlineLevel="0" collapsed="false">
      <c r="A92" s="8"/>
      <c r="B92" s="9"/>
      <c r="C92" s="9"/>
      <c r="D92" s="10"/>
      <c r="E92" s="9"/>
      <c r="F92" s="9"/>
      <c r="G92" s="9"/>
      <c r="H92" s="10"/>
      <c r="I92" s="11" t="n">
        <f aca="false">IFERROR(F92/E92,0)</f>
        <v>0</v>
      </c>
      <c r="J92" s="10" t="n">
        <f aca="false">IFERROR(D92/F92,0)</f>
        <v>0</v>
      </c>
      <c r="K92" s="11" t="n">
        <f aca="false">IFERROR(G92/F92,0)</f>
        <v>0</v>
      </c>
      <c r="L92" s="12" t="n">
        <f aca="false">IFERROR(H92/D92,0)</f>
        <v>0</v>
      </c>
      <c r="M92" s="9" t="n">
        <f aca="false">IFERROR(YEAR(A92),"")</f>
        <v>1899</v>
      </c>
      <c r="N92" s="9" t="n">
        <f aca="false">IFERROR(MONTH(A92),"")</f>
        <v>12</v>
      </c>
    </row>
    <row r="93" customFormat="false" ht="15" hidden="false" customHeight="false" outlineLevel="0" collapsed="false">
      <c r="A93" s="8"/>
      <c r="B93" s="9"/>
      <c r="C93" s="9"/>
      <c r="D93" s="10"/>
      <c r="E93" s="9"/>
      <c r="F93" s="9"/>
      <c r="G93" s="9"/>
      <c r="H93" s="10"/>
      <c r="I93" s="11" t="n">
        <f aca="false">IFERROR(F93/E93,0)</f>
        <v>0</v>
      </c>
      <c r="J93" s="10" t="n">
        <f aca="false">IFERROR(D93/F93,0)</f>
        <v>0</v>
      </c>
      <c r="K93" s="11" t="n">
        <f aca="false">IFERROR(G93/F93,0)</f>
        <v>0</v>
      </c>
      <c r="L93" s="12" t="n">
        <f aca="false">IFERROR(H93/D93,0)</f>
        <v>0</v>
      </c>
      <c r="M93" s="9" t="n">
        <f aca="false">IFERROR(YEAR(A93),"")</f>
        <v>1899</v>
      </c>
      <c r="N93" s="9" t="n">
        <f aca="false">IFERROR(MONTH(A93),"")</f>
        <v>12</v>
      </c>
    </row>
    <row r="94" customFormat="false" ht="15" hidden="false" customHeight="false" outlineLevel="0" collapsed="false">
      <c r="A94" s="8"/>
      <c r="B94" s="9"/>
      <c r="C94" s="9"/>
      <c r="D94" s="10"/>
      <c r="E94" s="9"/>
      <c r="F94" s="9"/>
      <c r="G94" s="9"/>
      <c r="H94" s="10"/>
      <c r="I94" s="11" t="n">
        <f aca="false">IFERROR(F94/E94,0)</f>
        <v>0</v>
      </c>
      <c r="J94" s="10" t="n">
        <f aca="false">IFERROR(D94/F94,0)</f>
        <v>0</v>
      </c>
      <c r="K94" s="11" t="n">
        <f aca="false">IFERROR(G94/F94,0)</f>
        <v>0</v>
      </c>
      <c r="L94" s="12" t="n">
        <f aca="false">IFERROR(H94/D94,0)</f>
        <v>0</v>
      </c>
      <c r="M94" s="9" t="n">
        <f aca="false">IFERROR(YEAR(A94),"")</f>
        <v>1899</v>
      </c>
      <c r="N94" s="9" t="n">
        <f aca="false">IFERROR(MONTH(A94),"")</f>
        <v>12</v>
      </c>
    </row>
    <row r="95" customFormat="false" ht="15" hidden="false" customHeight="false" outlineLevel="0" collapsed="false">
      <c r="A95" s="8"/>
      <c r="B95" s="9"/>
      <c r="C95" s="9"/>
      <c r="D95" s="10"/>
      <c r="E95" s="9"/>
      <c r="F95" s="9"/>
      <c r="G95" s="9"/>
      <c r="H95" s="10"/>
      <c r="I95" s="11" t="n">
        <f aca="false">IFERROR(F95/E95,0)</f>
        <v>0</v>
      </c>
      <c r="J95" s="10" t="n">
        <f aca="false">IFERROR(D95/F95,0)</f>
        <v>0</v>
      </c>
      <c r="K95" s="11" t="n">
        <f aca="false">IFERROR(G95/F95,0)</f>
        <v>0</v>
      </c>
      <c r="L95" s="12" t="n">
        <f aca="false">IFERROR(H95/D95,0)</f>
        <v>0</v>
      </c>
      <c r="M95" s="9" t="n">
        <f aca="false">IFERROR(YEAR(A95),"")</f>
        <v>1899</v>
      </c>
      <c r="N95" s="9" t="n">
        <f aca="false">IFERROR(MONTH(A95),"")</f>
        <v>12</v>
      </c>
    </row>
    <row r="96" customFormat="false" ht="15" hidden="false" customHeight="false" outlineLevel="0" collapsed="false">
      <c r="A96" s="8"/>
      <c r="B96" s="9"/>
      <c r="C96" s="9"/>
      <c r="D96" s="10"/>
      <c r="E96" s="9"/>
      <c r="F96" s="9"/>
      <c r="G96" s="9"/>
      <c r="H96" s="10"/>
      <c r="I96" s="11" t="n">
        <f aca="false">IFERROR(F96/E96,0)</f>
        <v>0</v>
      </c>
      <c r="J96" s="10" t="n">
        <f aca="false">IFERROR(D96/F96,0)</f>
        <v>0</v>
      </c>
      <c r="K96" s="11" t="n">
        <f aca="false">IFERROR(G96/F96,0)</f>
        <v>0</v>
      </c>
      <c r="L96" s="12" t="n">
        <f aca="false">IFERROR(H96/D96,0)</f>
        <v>0</v>
      </c>
      <c r="M96" s="9" t="n">
        <f aca="false">IFERROR(YEAR(A96),"")</f>
        <v>1899</v>
      </c>
      <c r="N96" s="9" t="n">
        <f aca="false">IFERROR(MONTH(A96),"")</f>
        <v>12</v>
      </c>
    </row>
    <row r="97" customFormat="false" ht="15" hidden="false" customHeight="false" outlineLevel="0" collapsed="false">
      <c r="A97" s="8"/>
      <c r="B97" s="9"/>
      <c r="C97" s="9"/>
      <c r="D97" s="10"/>
      <c r="E97" s="9"/>
      <c r="F97" s="9"/>
      <c r="G97" s="9"/>
      <c r="H97" s="10"/>
      <c r="I97" s="11" t="n">
        <f aca="false">IFERROR(F97/E97,0)</f>
        <v>0</v>
      </c>
      <c r="J97" s="10" t="n">
        <f aca="false">IFERROR(D97/F97,0)</f>
        <v>0</v>
      </c>
      <c r="K97" s="11" t="n">
        <f aca="false">IFERROR(G97/F97,0)</f>
        <v>0</v>
      </c>
      <c r="L97" s="12" t="n">
        <f aca="false">IFERROR(H97/D97,0)</f>
        <v>0</v>
      </c>
      <c r="M97" s="9" t="n">
        <f aca="false">IFERROR(YEAR(A97),"")</f>
        <v>1899</v>
      </c>
      <c r="N97" s="9" t="n">
        <f aca="false">IFERROR(MONTH(A97),"")</f>
        <v>12</v>
      </c>
    </row>
    <row r="98" customFormat="false" ht="15" hidden="false" customHeight="false" outlineLevel="0" collapsed="false">
      <c r="A98" s="8"/>
      <c r="B98" s="9"/>
      <c r="C98" s="9"/>
      <c r="D98" s="10"/>
      <c r="E98" s="9"/>
      <c r="F98" s="9"/>
      <c r="G98" s="9"/>
      <c r="H98" s="10"/>
      <c r="I98" s="11" t="n">
        <f aca="false">IFERROR(F98/E98,0)</f>
        <v>0</v>
      </c>
      <c r="J98" s="10" t="n">
        <f aca="false">IFERROR(D98/F98,0)</f>
        <v>0</v>
      </c>
      <c r="K98" s="11" t="n">
        <f aca="false">IFERROR(G98/F98,0)</f>
        <v>0</v>
      </c>
      <c r="L98" s="12" t="n">
        <f aca="false">IFERROR(H98/D98,0)</f>
        <v>0</v>
      </c>
      <c r="M98" s="9" t="n">
        <f aca="false">IFERROR(YEAR(A98),"")</f>
        <v>1899</v>
      </c>
      <c r="N98" s="9" t="n">
        <f aca="false">IFERROR(MONTH(A98),"")</f>
        <v>12</v>
      </c>
    </row>
    <row r="99" customFormat="false" ht="15" hidden="false" customHeight="false" outlineLevel="0" collapsed="false">
      <c r="A99" s="8"/>
      <c r="B99" s="9"/>
      <c r="C99" s="9"/>
      <c r="D99" s="10"/>
      <c r="E99" s="9"/>
      <c r="F99" s="9"/>
      <c r="G99" s="9"/>
      <c r="H99" s="10"/>
      <c r="I99" s="11" t="n">
        <f aca="false">IFERROR(F99/E99,0)</f>
        <v>0</v>
      </c>
      <c r="J99" s="10" t="n">
        <f aca="false">IFERROR(D99/F99,0)</f>
        <v>0</v>
      </c>
      <c r="K99" s="11" t="n">
        <f aca="false">IFERROR(G99/F99,0)</f>
        <v>0</v>
      </c>
      <c r="L99" s="12" t="n">
        <f aca="false">IFERROR(H99/D99,0)</f>
        <v>0</v>
      </c>
      <c r="M99" s="9" t="n">
        <f aca="false">IFERROR(YEAR(A99),"")</f>
        <v>1899</v>
      </c>
      <c r="N99" s="9" t="n">
        <f aca="false">IFERROR(MONTH(A99),"")</f>
        <v>12</v>
      </c>
    </row>
    <row r="100" customFormat="false" ht="15" hidden="false" customHeight="false" outlineLevel="0" collapsed="false">
      <c r="A100" s="8"/>
      <c r="B100" s="9"/>
      <c r="C100" s="9"/>
      <c r="D100" s="10"/>
      <c r="E100" s="9"/>
      <c r="F100" s="9"/>
      <c r="G100" s="9"/>
      <c r="H100" s="10"/>
      <c r="I100" s="11" t="n">
        <f aca="false">IFERROR(F100/E100,0)</f>
        <v>0</v>
      </c>
      <c r="J100" s="10" t="n">
        <f aca="false">IFERROR(D100/F100,0)</f>
        <v>0</v>
      </c>
      <c r="K100" s="11" t="n">
        <f aca="false">IFERROR(G100/F100,0)</f>
        <v>0</v>
      </c>
      <c r="L100" s="12" t="n">
        <f aca="false">IFERROR(H100/D100,0)</f>
        <v>0</v>
      </c>
      <c r="M100" s="9" t="n">
        <f aca="false">IFERROR(YEAR(A100),"")</f>
        <v>1899</v>
      </c>
      <c r="N100" s="9" t="n">
        <f aca="false">IFERROR(MONTH(A100),"")</f>
        <v>12</v>
      </c>
    </row>
    <row r="101" customFormat="false" ht="15" hidden="false" customHeight="false" outlineLevel="0" collapsed="false">
      <c r="A101" s="8"/>
      <c r="B101" s="9"/>
      <c r="C101" s="9"/>
      <c r="D101" s="10"/>
      <c r="E101" s="9"/>
      <c r="F101" s="9"/>
      <c r="G101" s="9"/>
      <c r="H101" s="10"/>
      <c r="I101" s="11" t="n">
        <f aca="false">IFERROR(F101/E101,0)</f>
        <v>0</v>
      </c>
      <c r="J101" s="10" t="n">
        <f aca="false">IFERROR(D101/F101,0)</f>
        <v>0</v>
      </c>
      <c r="K101" s="11" t="n">
        <f aca="false">IFERROR(G101/F101,0)</f>
        <v>0</v>
      </c>
      <c r="L101" s="12" t="n">
        <f aca="false">IFERROR(H101/D101,0)</f>
        <v>0</v>
      </c>
      <c r="M101" s="9" t="n">
        <f aca="false">IFERROR(YEAR(A101),"")</f>
        <v>1899</v>
      </c>
      <c r="N101" s="9" t="n">
        <f aca="false">IFERROR(MONTH(A101),"")</f>
        <v>12</v>
      </c>
    </row>
    <row r="102" customFormat="false" ht="15" hidden="false" customHeight="false" outlineLevel="0" collapsed="false">
      <c r="A102" s="8"/>
      <c r="B102" s="9"/>
      <c r="C102" s="9"/>
      <c r="D102" s="10"/>
      <c r="E102" s="9"/>
      <c r="F102" s="9"/>
      <c r="G102" s="9"/>
      <c r="H102" s="10"/>
      <c r="I102" s="11" t="n">
        <f aca="false">IFERROR(F102/E102,0)</f>
        <v>0</v>
      </c>
      <c r="J102" s="10" t="n">
        <f aca="false">IFERROR(D102/F102,0)</f>
        <v>0</v>
      </c>
      <c r="K102" s="11" t="n">
        <f aca="false">IFERROR(G102/F102,0)</f>
        <v>0</v>
      </c>
      <c r="L102" s="12" t="n">
        <f aca="false">IFERROR(H102/D102,0)</f>
        <v>0</v>
      </c>
      <c r="M102" s="9" t="n">
        <f aca="false">IFERROR(YEAR(A102),"")</f>
        <v>1899</v>
      </c>
      <c r="N102" s="9" t="n">
        <f aca="false">IFERROR(MONTH(A102),"")</f>
        <v>12</v>
      </c>
    </row>
    <row r="103" customFormat="false" ht="15" hidden="false" customHeight="false" outlineLevel="0" collapsed="false">
      <c r="A103" s="8"/>
      <c r="B103" s="9"/>
      <c r="C103" s="9"/>
      <c r="D103" s="10"/>
      <c r="E103" s="9"/>
      <c r="F103" s="9"/>
      <c r="G103" s="9"/>
      <c r="H103" s="10"/>
      <c r="I103" s="11" t="n">
        <f aca="false">IFERROR(F103/E103,0)</f>
        <v>0</v>
      </c>
      <c r="J103" s="10" t="n">
        <f aca="false">IFERROR(D103/F103,0)</f>
        <v>0</v>
      </c>
      <c r="K103" s="11" t="n">
        <f aca="false">IFERROR(G103/F103,0)</f>
        <v>0</v>
      </c>
      <c r="L103" s="12" t="n">
        <f aca="false">IFERROR(H103/D103,0)</f>
        <v>0</v>
      </c>
      <c r="M103" s="9" t="n">
        <f aca="false">IFERROR(YEAR(A103),"")</f>
        <v>1899</v>
      </c>
      <c r="N103" s="9" t="n">
        <f aca="false">IFERROR(MONTH(A103),"")</f>
        <v>12</v>
      </c>
    </row>
    <row r="104" customFormat="false" ht="15" hidden="false" customHeight="false" outlineLevel="0" collapsed="false">
      <c r="A104" s="8"/>
      <c r="B104" s="9"/>
      <c r="C104" s="9"/>
      <c r="D104" s="10"/>
      <c r="E104" s="9"/>
      <c r="F104" s="9"/>
      <c r="G104" s="9"/>
      <c r="H104" s="10"/>
      <c r="I104" s="11" t="n">
        <f aca="false">IFERROR(F104/E104,0)</f>
        <v>0</v>
      </c>
      <c r="J104" s="10" t="n">
        <f aca="false">IFERROR(D104/F104,0)</f>
        <v>0</v>
      </c>
      <c r="K104" s="11" t="n">
        <f aca="false">IFERROR(G104/F104,0)</f>
        <v>0</v>
      </c>
      <c r="L104" s="12" t="n">
        <f aca="false">IFERROR(H104/D104,0)</f>
        <v>0</v>
      </c>
      <c r="M104" s="9" t="n">
        <f aca="false">IFERROR(YEAR(A104),"")</f>
        <v>1899</v>
      </c>
      <c r="N104" s="9" t="n">
        <f aca="false">IFERROR(MONTH(A104),"")</f>
        <v>12</v>
      </c>
    </row>
    <row r="105" customFormat="false" ht="15" hidden="false" customHeight="false" outlineLevel="0" collapsed="false">
      <c r="A105" s="8"/>
      <c r="B105" s="9"/>
      <c r="C105" s="9"/>
      <c r="D105" s="10"/>
      <c r="E105" s="9"/>
      <c r="F105" s="9"/>
      <c r="G105" s="9"/>
      <c r="H105" s="10"/>
      <c r="I105" s="11" t="n">
        <f aca="false">IFERROR(F105/E105,0)</f>
        <v>0</v>
      </c>
      <c r="J105" s="10" t="n">
        <f aca="false">IFERROR(D105/F105,0)</f>
        <v>0</v>
      </c>
      <c r="K105" s="11" t="n">
        <f aca="false">IFERROR(G105/F105,0)</f>
        <v>0</v>
      </c>
      <c r="L105" s="12" t="n">
        <f aca="false">IFERROR(H105/D105,0)</f>
        <v>0</v>
      </c>
      <c r="M105" s="9" t="n">
        <f aca="false">IFERROR(YEAR(A105),"")</f>
        <v>1899</v>
      </c>
      <c r="N105" s="9" t="n">
        <f aca="false">IFERROR(MONTH(A105),"")</f>
        <v>12</v>
      </c>
    </row>
    <row r="106" customFormat="false" ht="15" hidden="false" customHeight="false" outlineLevel="0" collapsed="false">
      <c r="A106" s="8"/>
      <c r="B106" s="9"/>
      <c r="C106" s="9"/>
      <c r="D106" s="10"/>
      <c r="E106" s="9"/>
      <c r="F106" s="9"/>
      <c r="G106" s="9"/>
      <c r="H106" s="10"/>
      <c r="I106" s="11" t="n">
        <f aca="false">IFERROR(F106/E106,0)</f>
        <v>0</v>
      </c>
      <c r="J106" s="10" t="n">
        <f aca="false">IFERROR(D106/F106,0)</f>
        <v>0</v>
      </c>
      <c r="K106" s="11" t="n">
        <f aca="false">IFERROR(G106/F106,0)</f>
        <v>0</v>
      </c>
      <c r="L106" s="12" t="n">
        <f aca="false">IFERROR(H106/D106,0)</f>
        <v>0</v>
      </c>
      <c r="M106" s="9" t="n">
        <f aca="false">IFERROR(YEAR(A106),"")</f>
        <v>1899</v>
      </c>
      <c r="N106" s="9" t="n">
        <f aca="false">IFERROR(MONTH(A106),"")</f>
        <v>12</v>
      </c>
    </row>
    <row r="107" customFormat="false" ht="15" hidden="false" customHeight="false" outlineLevel="0" collapsed="false">
      <c r="A107" s="8"/>
      <c r="B107" s="9"/>
      <c r="C107" s="9"/>
      <c r="D107" s="10"/>
      <c r="E107" s="9"/>
      <c r="F107" s="9"/>
      <c r="G107" s="9"/>
      <c r="H107" s="10"/>
      <c r="I107" s="11" t="n">
        <f aca="false">IFERROR(F107/E107,0)</f>
        <v>0</v>
      </c>
      <c r="J107" s="10" t="n">
        <f aca="false">IFERROR(D107/F107,0)</f>
        <v>0</v>
      </c>
      <c r="K107" s="11" t="n">
        <f aca="false">IFERROR(G107/F107,0)</f>
        <v>0</v>
      </c>
      <c r="L107" s="12" t="n">
        <f aca="false">IFERROR(H107/D107,0)</f>
        <v>0</v>
      </c>
      <c r="M107" s="9" t="n">
        <f aca="false">IFERROR(YEAR(A107),"")</f>
        <v>1899</v>
      </c>
      <c r="N107" s="9" t="n">
        <f aca="false">IFERROR(MONTH(A107),"")</f>
        <v>12</v>
      </c>
    </row>
    <row r="108" customFormat="false" ht="15" hidden="false" customHeight="false" outlineLevel="0" collapsed="false">
      <c r="A108" s="8"/>
      <c r="B108" s="9"/>
      <c r="C108" s="9"/>
      <c r="D108" s="10"/>
      <c r="E108" s="9"/>
      <c r="F108" s="9"/>
      <c r="G108" s="9"/>
      <c r="H108" s="10"/>
      <c r="I108" s="11" t="n">
        <f aca="false">IFERROR(F108/E108,0)</f>
        <v>0</v>
      </c>
      <c r="J108" s="10" t="n">
        <f aca="false">IFERROR(D108/F108,0)</f>
        <v>0</v>
      </c>
      <c r="K108" s="11" t="n">
        <f aca="false">IFERROR(G108/F108,0)</f>
        <v>0</v>
      </c>
      <c r="L108" s="12" t="n">
        <f aca="false">IFERROR(H108/D108,0)</f>
        <v>0</v>
      </c>
      <c r="M108" s="9" t="n">
        <f aca="false">IFERROR(YEAR(A108),"")</f>
        <v>1899</v>
      </c>
      <c r="N108" s="9" t="n">
        <f aca="false">IFERROR(MONTH(A108),"")</f>
        <v>12</v>
      </c>
    </row>
    <row r="109" customFormat="false" ht="15" hidden="false" customHeight="false" outlineLevel="0" collapsed="false">
      <c r="A109" s="8"/>
      <c r="B109" s="9"/>
      <c r="C109" s="9"/>
      <c r="D109" s="10"/>
      <c r="E109" s="9"/>
      <c r="F109" s="9"/>
      <c r="G109" s="9"/>
      <c r="H109" s="10"/>
      <c r="I109" s="11" t="n">
        <f aca="false">IFERROR(F109/E109,0)</f>
        <v>0</v>
      </c>
      <c r="J109" s="10" t="n">
        <f aca="false">IFERROR(D109/F109,0)</f>
        <v>0</v>
      </c>
      <c r="K109" s="11" t="n">
        <f aca="false">IFERROR(G109/F109,0)</f>
        <v>0</v>
      </c>
      <c r="L109" s="12" t="n">
        <f aca="false">IFERROR(H109/D109,0)</f>
        <v>0</v>
      </c>
      <c r="M109" s="9" t="n">
        <f aca="false">IFERROR(YEAR(A109),"")</f>
        <v>1899</v>
      </c>
      <c r="N109" s="9" t="n">
        <f aca="false">IFERROR(MONTH(A109),"")</f>
        <v>12</v>
      </c>
    </row>
    <row r="110" customFormat="false" ht="15" hidden="false" customHeight="false" outlineLevel="0" collapsed="false">
      <c r="A110" s="8"/>
      <c r="B110" s="9"/>
      <c r="C110" s="9"/>
      <c r="D110" s="10"/>
      <c r="E110" s="9"/>
      <c r="F110" s="9"/>
      <c r="G110" s="9"/>
      <c r="H110" s="10"/>
      <c r="I110" s="11" t="n">
        <f aca="false">IFERROR(F110/E110,0)</f>
        <v>0</v>
      </c>
      <c r="J110" s="10" t="n">
        <f aca="false">IFERROR(D110/F110,0)</f>
        <v>0</v>
      </c>
      <c r="K110" s="11" t="n">
        <f aca="false">IFERROR(G110/F110,0)</f>
        <v>0</v>
      </c>
      <c r="L110" s="12" t="n">
        <f aca="false">IFERROR(H110/D110,0)</f>
        <v>0</v>
      </c>
      <c r="M110" s="9" t="n">
        <f aca="false">IFERROR(YEAR(A110),"")</f>
        <v>1899</v>
      </c>
      <c r="N110" s="9" t="n">
        <f aca="false">IFERROR(MONTH(A110),"")</f>
        <v>12</v>
      </c>
    </row>
    <row r="111" customFormat="false" ht="15" hidden="false" customHeight="false" outlineLevel="0" collapsed="false">
      <c r="A111" s="8"/>
      <c r="B111" s="9"/>
      <c r="C111" s="9"/>
      <c r="D111" s="10"/>
      <c r="E111" s="9"/>
      <c r="F111" s="9"/>
      <c r="G111" s="9"/>
      <c r="H111" s="10"/>
      <c r="I111" s="11" t="n">
        <f aca="false">IFERROR(F111/E111,0)</f>
        <v>0</v>
      </c>
      <c r="J111" s="10" t="n">
        <f aca="false">IFERROR(D111/F111,0)</f>
        <v>0</v>
      </c>
      <c r="K111" s="11" t="n">
        <f aca="false">IFERROR(G111/F111,0)</f>
        <v>0</v>
      </c>
      <c r="L111" s="12" t="n">
        <f aca="false">IFERROR(H111/D111,0)</f>
        <v>0</v>
      </c>
      <c r="M111" s="9" t="n">
        <f aca="false">IFERROR(YEAR(A111),"")</f>
        <v>1899</v>
      </c>
      <c r="N111" s="9" t="n">
        <f aca="false">IFERROR(MONTH(A111),"")</f>
        <v>12</v>
      </c>
    </row>
    <row r="112" customFormat="false" ht="15" hidden="false" customHeight="false" outlineLevel="0" collapsed="false">
      <c r="A112" s="8"/>
      <c r="B112" s="9"/>
      <c r="C112" s="9"/>
      <c r="D112" s="10"/>
      <c r="E112" s="9"/>
      <c r="F112" s="9"/>
      <c r="G112" s="9"/>
      <c r="H112" s="10"/>
      <c r="I112" s="11" t="n">
        <f aca="false">IFERROR(F112/E112,0)</f>
        <v>0</v>
      </c>
      <c r="J112" s="10" t="n">
        <f aca="false">IFERROR(D112/F112,0)</f>
        <v>0</v>
      </c>
      <c r="K112" s="11" t="n">
        <f aca="false">IFERROR(G112/F112,0)</f>
        <v>0</v>
      </c>
      <c r="L112" s="12" t="n">
        <f aca="false">IFERROR(H112/D112,0)</f>
        <v>0</v>
      </c>
      <c r="M112" s="9" t="n">
        <f aca="false">IFERROR(YEAR(A112),"")</f>
        <v>1899</v>
      </c>
      <c r="N112" s="9" t="n">
        <f aca="false">IFERROR(MONTH(A112),"")</f>
        <v>12</v>
      </c>
    </row>
    <row r="113" customFormat="false" ht="15" hidden="false" customHeight="false" outlineLevel="0" collapsed="false">
      <c r="A113" s="8"/>
      <c r="B113" s="9"/>
      <c r="C113" s="9"/>
      <c r="D113" s="10"/>
      <c r="E113" s="9"/>
      <c r="F113" s="9"/>
      <c r="G113" s="9"/>
      <c r="H113" s="10"/>
      <c r="I113" s="11" t="n">
        <f aca="false">IFERROR(F113/E113,0)</f>
        <v>0</v>
      </c>
      <c r="J113" s="10" t="n">
        <f aca="false">IFERROR(D113/F113,0)</f>
        <v>0</v>
      </c>
      <c r="K113" s="11" t="n">
        <f aca="false">IFERROR(G113/F113,0)</f>
        <v>0</v>
      </c>
      <c r="L113" s="12" t="n">
        <f aca="false">IFERROR(H113/D113,0)</f>
        <v>0</v>
      </c>
      <c r="M113" s="9" t="n">
        <f aca="false">IFERROR(YEAR(A113),"")</f>
        <v>1899</v>
      </c>
      <c r="N113" s="9" t="n">
        <f aca="false">IFERROR(MONTH(A113),"")</f>
        <v>12</v>
      </c>
    </row>
    <row r="114" customFormat="false" ht="15" hidden="false" customHeight="false" outlineLevel="0" collapsed="false">
      <c r="A114" s="8"/>
      <c r="B114" s="9"/>
      <c r="C114" s="9"/>
      <c r="D114" s="10"/>
      <c r="E114" s="9"/>
      <c r="F114" s="9"/>
      <c r="G114" s="9"/>
      <c r="H114" s="10"/>
      <c r="I114" s="11" t="n">
        <f aca="false">IFERROR(F114/E114,0)</f>
        <v>0</v>
      </c>
      <c r="J114" s="10" t="n">
        <f aca="false">IFERROR(D114/F114,0)</f>
        <v>0</v>
      </c>
      <c r="K114" s="11" t="n">
        <f aca="false">IFERROR(G114/F114,0)</f>
        <v>0</v>
      </c>
      <c r="L114" s="12" t="n">
        <f aca="false">IFERROR(H114/D114,0)</f>
        <v>0</v>
      </c>
      <c r="M114" s="9" t="n">
        <f aca="false">IFERROR(YEAR(A114),"")</f>
        <v>1899</v>
      </c>
      <c r="N114" s="9" t="n">
        <f aca="false">IFERROR(MONTH(A114),"")</f>
        <v>12</v>
      </c>
    </row>
    <row r="115" customFormat="false" ht="15" hidden="false" customHeight="false" outlineLevel="0" collapsed="false">
      <c r="A115" s="8"/>
      <c r="B115" s="9"/>
      <c r="C115" s="9"/>
      <c r="D115" s="10"/>
      <c r="E115" s="9"/>
      <c r="F115" s="9"/>
      <c r="G115" s="9"/>
      <c r="H115" s="10"/>
      <c r="I115" s="11" t="n">
        <f aca="false">IFERROR(F115/E115,0)</f>
        <v>0</v>
      </c>
      <c r="J115" s="10" t="n">
        <f aca="false">IFERROR(D115/F115,0)</f>
        <v>0</v>
      </c>
      <c r="K115" s="11" t="n">
        <f aca="false">IFERROR(G115/F115,0)</f>
        <v>0</v>
      </c>
      <c r="L115" s="12" t="n">
        <f aca="false">IFERROR(H115/D115,0)</f>
        <v>0</v>
      </c>
      <c r="M115" s="9" t="n">
        <f aca="false">IFERROR(YEAR(A115),"")</f>
        <v>1899</v>
      </c>
      <c r="N115" s="9" t="n">
        <f aca="false">IFERROR(MONTH(A115),"")</f>
        <v>12</v>
      </c>
    </row>
    <row r="116" customFormat="false" ht="15" hidden="false" customHeight="false" outlineLevel="0" collapsed="false">
      <c r="A116" s="8"/>
      <c r="B116" s="9"/>
      <c r="C116" s="9"/>
      <c r="D116" s="10"/>
      <c r="E116" s="9"/>
      <c r="F116" s="9"/>
      <c r="G116" s="9"/>
      <c r="H116" s="10"/>
      <c r="I116" s="11" t="n">
        <f aca="false">IFERROR(F116/E116,0)</f>
        <v>0</v>
      </c>
      <c r="J116" s="10" t="n">
        <f aca="false">IFERROR(D116/F116,0)</f>
        <v>0</v>
      </c>
      <c r="K116" s="11" t="n">
        <f aca="false">IFERROR(G116/F116,0)</f>
        <v>0</v>
      </c>
      <c r="L116" s="12" t="n">
        <f aca="false">IFERROR(H116/D116,0)</f>
        <v>0</v>
      </c>
      <c r="M116" s="9" t="n">
        <f aca="false">IFERROR(YEAR(A116),"")</f>
        <v>1899</v>
      </c>
      <c r="N116" s="9" t="n">
        <f aca="false">IFERROR(MONTH(A116),"")</f>
        <v>12</v>
      </c>
    </row>
    <row r="117" customFormat="false" ht="15" hidden="false" customHeight="false" outlineLevel="0" collapsed="false">
      <c r="A117" s="8"/>
      <c r="B117" s="9"/>
      <c r="C117" s="9"/>
      <c r="D117" s="10"/>
      <c r="E117" s="9"/>
      <c r="F117" s="9"/>
      <c r="G117" s="9"/>
      <c r="H117" s="10"/>
      <c r="I117" s="11" t="n">
        <f aca="false">IFERROR(F117/E117,0)</f>
        <v>0</v>
      </c>
      <c r="J117" s="10" t="n">
        <f aca="false">IFERROR(D117/F117,0)</f>
        <v>0</v>
      </c>
      <c r="K117" s="11" t="n">
        <f aca="false">IFERROR(G117/F117,0)</f>
        <v>0</v>
      </c>
      <c r="L117" s="12" t="n">
        <f aca="false">IFERROR(H117/D117,0)</f>
        <v>0</v>
      </c>
      <c r="M117" s="9" t="n">
        <f aca="false">IFERROR(YEAR(A117),"")</f>
        <v>1899</v>
      </c>
      <c r="N117" s="9" t="n">
        <f aca="false">IFERROR(MONTH(A117),"")</f>
        <v>12</v>
      </c>
    </row>
    <row r="118" customFormat="false" ht="15" hidden="false" customHeight="false" outlineLevel="0" collapsed="false">
      <c r="A118" s="8"/>
      <c r="B118" s="9"/>
      <c r="C118" s="9"/>
      <c r="D118" s="10"/>
      <c r="E118" s="9"/>
      <c r="F118" s="9"/>
      <c r="G118" s="9"/>
      <c r="H118" s="10"/>
      <c r="I118" s="11" t="n">
        <f aca="false">IFERROR(F118/E118,0)</f>
        <v>0</v>
      </c>
      <c r="J118" s="10" t="n">
        <f aca="false">IFERROR(D118/F118,0)</f>
        <v>0</v>
      </c>
      <c r="K118" s="11" t="n">
        <f aca="false">IFERROR(G118/F118,0)</f>
        <v>0</v>
      </c>
      <c r="L118" s="12" t="n">
        <f aca="false">IFERROR(H118/D118,0)</f>
        <v>0</v>
      </c>
      <c r="M118" s="9" t="n">
        <f aca="false">IFERROR(YEAR(A118),"")</f>
        <v>1899</v>
      </c>
      <c r="N118" s="9" t="n">
        <f aca="false">IFERROR(MONTH(A118),"")</f>
        <v>12</v>
      </c>
    </row>
    <row r="119" customFormat="false" ht="15" hidden="false" customHeight="false" outlineLevel="0" collapsed="false">
      <c r="A119" s="8"/>
      <c r="B119" s="9"/>
      <c r="C119" s="9"/>
      <c r="D119" s="10"/>
      <c r="E119" s="9"/>
      <c r="F119" s="9"/>
      <c r="G119" s="9"/>
      <c r="H119" s="10"/>
      <c r="I119" s="11" t="n">
        <f aca="false">IFERROR(F119/E119,0)</f>
        <v>0</v>
      </c>
      <c r="J119" s="10" t="n">
        <f aca="false">IFERROR(D119/F119,0)</f>
        <v>0</v>
      </c>
      <c r="K119" s="11" t="n">
        <f aca="false">IFERROR(G119/F119,0)</f>
        <v>0</v>
      </c>
      <c r="L119" s="12" t="n">
        <f aca="false">IFERROR(H119/D119,0)</f>
        <v>0</v>
      </c>
      <c r="M119" s="9" t="n">
        <f aca="false">IFERROR(YEAR(A119),"")</f>
        <v>1899</v>
      </c>
      <c r="N119" s="9" t="n">
        <f aca="false">IFERROR(MONTH(A119),"")</f>
        <v>12</v>
      </c>
    </row>
    <row r="120" customFormat="false" ht="15" hidden="false" customHeight="false" outlineLevel="0" collapsed="false">
      <c r="A120" s="8"/>
      <c r="B120" s="9"/>
      <c r="C120" s="9"/>
      <c r="D120" s="10"/>
      <c r="E120" s="9"/>
      <c r="F120" s="9"/>
      <c r="G120" s="9"/>
      <c r="H120" s="10"/>
      <c r="I120" s="11" t="n">
        <f aca="false">IFERROR(F120/E120,0)</f>
        <v>0</v>
      </c>
      <c r="J120" s="10" t="n">
        <f aca="false">IFERROR(D120/F120,0)</f>
        <v>0</v>
      </c>
      <c r="K120" s="11" t="n">
        <f aca="false">IFERROR(G120/F120,0)</f>
        <v>0</v>
      </c>
      <c r="L120" s="12" t="n">
        <f aca="false">IFERROR(H120/D120,0)</f>
        <v>0</v>
      </c>
      <c r="M120" s="9" t="n">
        <f aca="false">IFERROR(YEAR(A120),"")</f>
        <v>1899</v>
      </c>
      <c r="N120" s="9" t="n">
        <f aca="false">IFERROR(MONTH(A120),"")</f>
        <v>12</v>
      </c>
    </row>
    <row r="121" customFormat="false" ht="15" hidden="false" customHeight="false" outlineLevel="0" collapsed="false">
      <c r="A121" s="8"/>
      <c r="B121" s="9"/>
      <c r="C121" s="9"/>
      <c r="D121" s="10"/>
      <c r="E121" s="9"/>
      <c r="F121" s="9"/>
      <c r="G121" s="9"/>
      <c r="H121" s="10"/>
      <c r="I121" s="11" t="n">
        <f aca="false">IFERROR(F121/E121,0)</f>
        <v>0</v>
      </c>
      <c r="J121" s="10" t="n">
        <f aca="false">IFERROR(D121/F121,0)</f>
        <v>0</v>
      </c>
      <c r="K121" s="11" t="n">
        <f aca="false">IFERROR(G121/F121,0)</f>
        <v>0</v>
      </c>
      <c r="L121" s="12" t="n">
        <f aca="false">IFERROR(H121/D121,0)</f>
        <v>0</v>
      </c>
      <c r="M121" s="9" t="n">
        <f aca="false">IFERROR(YEAR(A121),"")</f>
        <v>1899</v>
      </c>
      <c r="N121" s="9" t="n">
        <f aca="false">IFERROR(MONTH(A121),"")</f>
        <v>12</v>
      </c>
    </row>
    <row r="122" customFormat="false" ht="15" hidden="false" customHeight="false" outlineLevel="0" collapsed="false">
      <c r="A122" s="8"/>
      <c r="B122" s="9"/>
      <c r="C122" s="9"/>
      <c r="D122" s="10"/>
      <c r="E122" s="9"/>
      <c r="F122" s="9"/>
      <c r="G122" s="9"/>
      <c r="H122" s="10"/>
      <c r="I122" s="11" t="n">
        <f aca="false">IFERROR(F122/E122,0)</f>
        <v>0</v>
      </c>
      <c r="J122" s="10" t="n">
        <f aca="false">IFERROR(D122/F122,0)</f>
        <v>0</v>
      </c>
      <c r="K122" s="11" t="n">
        <f aca="false">IFERROR(G122/F122,0)</f>
        <v>0</v>
      </c>
      <c r="L122" s="12" t="n">
        <f aca="false">IFERROR(H122/D122,0)</f>
        <v>0</v>
      </c>
      <c r="M122" s="9" t="n">
        <f aca="false">IFERROR(YEAR(A122),"")</f>
        <v>1899</v>
      </c>
      <c r="N122" s="9" t="n">
        <f aca="false">IFERROR(MONTH(A122),"")</f>
        <v>12</v>
      </c>
    </row>
    <row r="123" customFormat="false" ht="15" hidden="false" customHeight="false" outlineLevel="0" collapsed="false">
      <c r="A123" s="8"/>
      <c r="B123" s="9"/>
      <c r="C123" s="9"/>
      <c r="D123" s="10"/>
      <c r="E123" s="9"/>
      <c r="F123" s="9"/>
      <c r="G123" s="9"/>
      <c r="H123" s="10"/>
      <c r="I123" s="11" t="n">
        <f aca="false">IFERROR(F123/E123,0)</f>
        <v>0</v>
      </c>
      <c r="J123" s="10" t="n">
        <f aca="false">IFERROR(D123/F123,0)</f>
        <v>0</v>
      </c>
      <c r="K123" s="11" t="n">
        <f aca="false">IFERROR(G123/F123,0)</f>
        <v>0</v>
      </c>
      <c r="L123" s="12" t="n">
        <f aca="false">IFERROR(H123/D123,0)</f>
        <v>0</v>
      </c>
      <c r="M123" s="9" t="n">
        <f aca="false">IFERROR(YEAR(A123),"")</f>
        <v>1899</v>
      </c>
      <c r="N123" s="9" t="n">
        <f aca="false">IFERROR(MONTH(A123),"")</f>
        <v>12</v>
      </c>
    </row>
    <row r="124" customFormat="false" ht="15" hidden="false" customHeight="false" outlineLevel="0" collapsed="false">
      <c r="A124" s="8"/>
      <c r="B124" s="9"/>
      <c r="C124" s="9"/>
      <c r="D124" s="10"/>
      <c r="E124" s="9"/>
      <c r="F124" s="9"/>
      <c r="G124" s="9"/>
      <c r="H124" s="10"/>
      <c r="I124" s="11" t="n">
        <f aca="false">IFERROR(F124/E124,0)</f>
        <v>0</v>
      </c>
      <c r="J124" s="10" t="n">
        <f aca="false">IFERROR(D124/F124,0)</f>
        <v>0</v>
      </c>
      <c r="K124" s="11" t="n">
        <f aca="false">IFERROR(G124/F124,0)</f>
        <v>0</v>
      </c>
      <c r="L124" s="12" t="n">
        <f aca="false">IFERROR(H124/D124,0)</f>
        <v>0</v>
      </c>
      <c r="M124" s="9" t="n">
        <f aca="false">IFERROR(YEAR(A124),"")</f>
        <v>1899</v>
      </c>
      <c r="N124" s="9" t="n">
        <f aca="false">IFERROR(MONTH(A124),"")</f>
        <v>12</v>
      </c>
    </row>
    <row r="125" customFormat="false" ht="15" hidden="false" customHeight="false" outlineLevel="0" collapsed="false">
      <c r="A125" s="8"/>
      <c r="B125" s="9"/>
      <c r="C125" s="9"/>
      <c r="D125" s="10"/>
      <c r="E125" s="9"/>
      <c r="F125" s="9"/>
      <c r="G125" s="9"/>
      <c r="H125" s="10"/>
      <c r="I125" s="11" t="n">
        <f aca="false">IFERROR(F125/E125,0)</f>
        <v>0</v>
      </c>
      <c r="J125" s="10" t="n">
        <f aca="false">IFERROR(D125/F125,0)</f>
        <v>0</v>
      </c>
      <c r="K125" s="11" t="n">
        <f aca="false">IFERROR(G125/F125,0)</f>
        <v>0</v>
      </c>
      <c r="L125" s="12" t="n">
        <f aca="false">IFERROR(H125/D125,0)</f>
        <v>0</v>
      </c>
      <c r="M125" s="9" t="n">
        <f aca="false">IFERROR(YEAR(A125),"")</f>
        <v>1899</v>
      </c>
      <c r="N125" s="9" t="n">
        <f aca="false">IFERROR(MONTH(A125),"")</f>
        <v>12</v>
      </c>
    </row>
    <row r="126" customFormat="false" ht="15" hidden="false" customHeight="false" outlineLevel="0" collapsed="false">
      <c r="A126" s="8"/>
      <c r="B126" s="9"/>
      <c r="C126" s="9"/>
      <c r="D126" s="10"/>
      <c r="E126" s="9"/>
      <c r="F126" s="9"/>
      <c r="G126" s="9"/>
      <c r="H126" s="10"/>
      <c r="I126" s="11" t="n">
        <f aca="false">IFERROR(F126/E126,0)</f>
        <v>0</v>
      </c>
      <c r="J126" s="10" t="n">
        <f aca="false">IFERROR(D126/F126,0)</f>
        <v>0</v>
      </c>
      <c r="K126" s="11" t="n">
        <f aca="false">IFERROR(G126/F126,0)</f>
        <v>0</v>
      </c>
      <c r="L126" s="12" t="n">
        <f aca="false">IFERROR(H126/D126,0)</f>
        <v>0</v>
      </c>
      <c r="M126" s="9" t="n">
        <f aca="false">IFERROR(YEAR(A126),"")</f>
        <v>1899</v>
      </c>
      <c r="N126" s="9" t="n">
        <f aca="false">IFERROR(MONTH(A126),"")</f>
        <v>12</v>
      </c>
    </row>
    <row r="127" customFormat="false" ht="15" hidden="false" customHeight="false" outlineLevel="0" collapsed="false">
      <c r="A127" s="8"/>
      <c r="B127" s="9"/>
      <c r="C127" s="9"/>
      <c r="D127" s="10"/>
      <c r="E127" s="9"/>
      <c r="F127" s="9"/>
      <c r="G127" s="9"/>
      <c r="H127" s="10"/>
      <c r="I127" s="11" t="n">
        <f aca="false">IFERROR(F127/E127,0)</f>
        <v>0</v>
      </c>
      <c r="J127" s="10" t="n">
        <f aca="false">IFERROR(D127/F127,0)</f>
        <v>0</v>
      </c>
      <c r="K127" s="11" t="n">
        <f aca="false">IFERROR(G127/F127,0)</f>
        <v>0</v>
      </c>
      <c r="L127" s="12" t="n">
        <f aca="false">IFERROR(H127/D127,0)</f>
        <v>0</v>
      </c>
      <c r="M127" s="9" t="n">
        <f aca="false">IFERROR(YEAR(A127),"")</f>
        <v>1899</v>
      </c>
      <c r="N127" s="9" t="n">
        <f aca="false">IFERROR(MONTH(A127),"")</f>
        <v>12</v>
      </c>
    </row>
    <row r="128" customFormat="false" ht="15" hidden="false" customHeight="false" outlineLevel="0" collapsed="false">
      <c r="A128" s="8"/>
      <c r="B128" s="9"/>
      <c r="C128" s="9"/>
      <c r="D128" s="10"/>
      <c r="E128" s="9"/>
      <c r="F128" s="9"/>
      <c r="G128" s="9"/>
      <c r="H128" s="10"/>
      <c r="I128" s="11" t="n">
        <f aca="false">IFERROR(F128/E128,0)</f>
        <v>0</v>
      </c>
      <c r="J128" s="10" t="n">
        <f aca="false">IFERROR(D128/F128,0)</f>
        <v>0</v>
      </c>
      <c r="K128" s="11" t="n">
        <f aca="false">IFERROR(G128/F128,0)</f>
        <v>0</v>
      </c>
      <c r="L128" s="12" t="n">
        <f aca="false">IFERROR(H128/D128,0)</f>
        <v>0</v>
      </c>
      <c r="M128" s="9" t="n">
        <f aca="false">IFERROR(YEAR(A128),"")</f>
        <v>1899</v>
      </c>
      <c r="N128" s="9" t="n">
        <f aca="false">IFERROR(MONTH(A128),"")</f>
        <v>12</v>
      </c>
    </row>
    <row r="129" customFormat="false" ht="15" hidden="false" customHeight="false" outlineLevel="0" collapsed="false">
      <c r="A129" s="8"/>
      <c r="B129" s="9"/>
      <c r="C129" s="9"/>
      <c r="D129" s="10"/>
      <c r="E129" s="9"/>
      <c r="F129" s="9"/>
      <c r="G129" s="9"/>
      <c r="H129" s="10"/>
      <c r="I129" s="11" t="n">
        <f aca="false">IFERROR(F129/E129,0)</f>
        <v>0</v>
      </c>
      <c r="J129" s="10" t="n">
        <f aca="false">IFERROR(D129/F129,0)</f>
        <v>0</v>
      </c>
      <c r="K129" s="11" t="n">
        <f aca="false">IFERROR(G129/F129,0)</f>
        <v>0</v>
      </c>
      <c r="L129" s="12" t="n">
        <f aca="false">IFERROR(H129/D129,0)</f>
        <v>0</v>
      </c>
      <c r="M129" s="9" t="n">
        <f aca="false">IFERROR(YEAR(A129),"")</f>
        <v>1899</v>
      </c>
      <c r="N129" s="9" t="n">
        <f aca="false">IFERROR(MONTH(A129),"")</f>
        <v>12</v>
      </c>
    </row>
    <row r="130" customFormat="false" ht="15" hidden="false" customHeight="false" outlineLevel="0" collapsed="false">
      <c r="A130" s="8"/>
      <c r="B130" s="9"/>
      <c r="C130" s="9"/>
      <c r="D130" s="10"/>
      <c r="E130" s="9"/>
      <c r="F130" s="9"/>
      <c r="G130" s="9"/>
      <c r="H130" s="10"/>
      <c r="I130" s="11" t="n">
        <f aca="false">IFERROR(F130/E130,0)</f>
        <v>0</v>
      </c>
      <c r="J130" s="10" t="n">
        <f aca="false">IFERROR(D130/F130,0)</f>
        <v>0</v>
      </c>
      <c r="K130" s="11" t="n">
        <f aca="false">IFERROR(G130/F130,0)</f>
        <v>0</v>
      </c>
      <c r="L130" s="12" t="n">
        <f aca="false">IFERROR(H130/D130,0)</f>
        <v>0</v>
      </c>
      <c r="M130" s="9" t="n">
        <f aca="false">IFERROR(YEAR(A130),"")</f>
        <v>1899</v>
      </c>
      <c r="N130" s="9" t="n">
        <f aca="false">IFERROR(MONTH(A130),"")</f>
        <v>12</v>
      </c>
    </row>
    <row r="131" customFormat="false" ht="15" hidden="false" customHeight="false" outlineLevel="0" collapsed="false">
      <c r="A131" s="8"/>
      <c r="B131" s="9"/>
      <c r="C131" s="9"/>
      <c r="D131" s="10"/>
      <c r="E131" s="9"/>
      <c r="F131" s="9"/>
      <c r="G131" s="9"/>
      <c r="H131" s="10"/>
      <c r="I131" s="11" t="n">
        <f aca="false">IFERROR(F131/E131,0)</f>
        <v>0</v>
      </c>
      <c r="J131" s="10" t="n">
        <f aca="false">IFERROR(D131/F131,0)</f>
        <v>0</v>
      </c>
      <c r="K131" s="11" t="n">
        <f aca="false">IFERROR(G131/F131,0)</f>
        <v>0</v>
      </c>
      <c r="L131" s="12" t="n">
        <f aca="false">IFERROR(H131/D131,0)</f>
        <v>0</v>
      </c>
      <c r="M131" s="9" t="n">
        <f aca="false">IFERROR(YEAR(A131),"")</f>
        <v>1899</v>
      </c>
      <c r="N131" s="9" t="n">
        <f aca="false">IFERROR(MONTH(A131),"")</f>
        <v>12</v>
      </c>
    </row>
    <row r="132" customFormat="false" ht="15" hidden="false" customHeight="false" outlineLevel="0" collapsed="false">
      <c r="A132" s="8"/>
      <c r="B132" s="9"/>
      <c r="C132" s="9"/>
      <c r="D132" s="10"/>
      <c r="E132" s="9"/>
      <c r="F132" s="9"/>
      <c r="G132" s="9"/>
      <c r="H132" s="10"/>
      <c r="I132" s="11" t="n">
        <f aca="false">IFERROR(F132/E132,0)</f>
        <v>0</v>
      </c>
      <c r="J132" s="10" t="n">
        <f aca="false">IFERROR(D132/F132,0)</f>
        <v>0</v>
      </c>
      <c r="K132" s="11" t="n">
        <f aca="false">IFERROR(G132/F132,0)</f>
        <v>0</v>
      </c>
      <c r="L132" s="12" t="n">
        <f aca="false">IFERROR(H132/D132,0)</f>
        <v>0</v>
      </c>
      <c r="M132" s="9" t="n">
        <f aca="false">IFERROR(YEAR(A132),"")</f>
        <v>1899</v>
      </c>
      <c r="N132" s="9" t="n">
        <f aca="false">IFERROR(MONTH(A132),"")</f>
        <v>12</v>
      </c>
    </row>
    <row r="133" customFormat="false" ht="15" hidden="false" customHeight="false" outlineLevel="0" collapsed="false">
      <c r="A133" s="8"/>
      <c r="B133" s="9"/>
      <c r="C133" s="9"/>
      <c r="D133" s="10"/>
      <c r="E133" s="9"/>
      <c r="F133" s="9"/>
      <c r="G133" s="9"/>
      <c r="H133" s="10"/>
      <c r="I133" s="11" t="n">
        <f aca="false">IFERROR(F133/E133,0)</f>
        <v>0</v>
      </c>
      <c r="J133" s="10" t="n">
        <f aca="false">IFERROR(D133/F133,0)</f>
        <v>0</v>
      </c>
      <c r="K133" s="11" t="n">
        <f aca="false">IFERROR(G133/F133,0)</f>
        <v>0</v>
      </c>
      <c r="L133" s="12" t="n">
        <f aca="false">IFERROR(H133/D133,0)</f>
        <v>0</v>
      </c>
      <c r="M133" s="9" t="n">
        <f aca="false">IFERROR(YEAR(A133),"")</f>
        <v>1899</v>
      </c>
      <c r="N133" s="9" t="n">
        <f aca="false">IFERROR(MONTH(A133),"")</f>
        <v>12</v>
      </c>
    </row>
    <row r="134" customFormat="false" ht="15" hidden="false" customHeight="false" outlineLevel="0" collapsed="false">
      <c r="A134" s="8"/>
      <c r="B134" s="9"/>
      <c r="C134" s="9"/>
      <c r="D134" s="10"/>
      <c r="E134" s="9"/>
      <c r="F134" s="9"/>
      <c r="G134" s="9"/>
      <c r="H134" s="10"/>
      <c r="I134" s="11" t="n">
        <f aca="false">IFERROR(F134/E134,0)</f>
        <v>0</v>
      </c>
      <c r="J134" s="10" t="n">
        <f aca="false">IFERROR(D134/F134,0)</f>
        <v>0</v>
      </c>
      <c r="K134" s="11" t="n">
        <f aca="false">IFERROR(G134/F134,0)</f>
        <v>0</v>
      </c>
      <c r="L134" s="12" t="n">
        <f aca="false">IFERROR(H134/D134,0)</f>
        <v>0</v>
      </c>
      <c r="M134" s="9" t="n">
        <f aca="false">IFERROR(YEAR(A134),"")</f>
        <v>1899</v>
      </c>
      <c r="N134" s="9" t="n">
        <f aca="false">IFERROR(MONTH(A134),"")</f>
        <v>12</v>
      </c>
    </row>
    <row r="135" customFormat="false" ht="15" hidden="false" customHeight="false" outlineLevel="0" collapsed="false">
      <c r="A135" s="8"/>
      <c r="B135" s="9"/>
      <c r="C135" s="9"/>
      <c r="D135" s="10"/>
      <c r="E135" s="9"/>
      <c r="F135" s="9"/>
      <c r="G135" s="9"/>
      <c r="H135" s="10"/>
      <c r="I135" s="11" t="n">
        <f aca="false">IFERROR(F135/E135,0)</f>
        <v>0</v>
      </c>
      <c r="J135" s="10" t="n">
        <f aca="false">IFERROR(D135/F135,0)</f>
        <v>0</v>
      </c>
      <c r="K135" s="11" t="n">
        <f aca="false">IFERROR(G135/F135,0)</f>
        <v>0</v>
      </c>
      <c r="L135" s="12" t="n">
        <f aca="false">IFERROR(H135/D135,0)</f>
        <v>0</v>
      </c>
      <c r="M135" s="9" t="n">
        <f aca="false">IFERROR(YEAR(A135),"")</f>
        <v>1899</v>
      </c>
      <c r="N135" s="9" t="n">
        <f aca="false">IFERROR(MONTH(A135),"")</f>
        <v>12</v>
      </c>
    </row>
    <row r="136" customFormat="false" ht="15" hidden="false" customHeight="false" outlineLevel="0" collapsed="false">
      <c r="A136" s="8"/>
      <c r="B136" s="9"/>
      <c r="C136" s="9"/>
      <c r="D136" s="10"/>
      <c r="E136" s="9"/>
      <c r="F136" s="9"/>
      <c r="G136" s="9"/>
      <c r="H136" s="10"/>
      <c r="I136" s="11" t="n">
        <f aca="false">IFERROR(F136/E136,0)</f>
        <v>0</v>
      </c>
      <c r="J136" s="10" t="n">
        <f aca="false">IFERROR(D136/F136,0)</f>
        <v>0</v>
      </c>
      <c r="K136" s="11" t="n">
        <f aca="false">IFERROR(G136/F136,0)</f>
        <v>0</v>
      </c>
      <c r="L136" s="12" t="n">
        <f aca="false">IFERROR(H136/D136,0)</f>
        <v>0</v>
      </c>
      <c r="M136" s="9" t="n">
        <f aca="false">IFERROR(YEAR(A136),"")</f>
        <v>1899</v>
      </c>
      <c r="N136" s="9" t="n">
        <f aca="false">IFERROR(MONTH(A136),"")</f>
        <v>12</v>
      </c>
    </row>
    <row r="137" customFormat="false" ht="15" hidden="false" customHeight="false" outlineLevel="0" collapsed="false">
      <c r="A137" s="8"/>
      <c r="B137" s="9"/>
      <c r="C137" s="9"/>
      <c r="D137" s="10"/>
      <c r="E137" s="9"/>
      <c r="F137" s="9"/>
      <c r="G137" s="9"/>
      <c r="H137" s="10"/>
      <c r="I137" s="11" t="n">
        <f aca="false">IFERROR(F137/E137,0)</f>
        <v>0</v>
      </c>
      <c r="J137" s="10" t="n">
        <f aca="false">IFERROR(D137/F137,0)</f>
        <v>0</v>
      </c>
      <c r="K137" s="11" t="n">
        <f aca="false">IFERROR(G137/F137,0)</f>
        <v>0</v>
      </c>
      <c r="L137" s="12" t="n">
        <f aca="false">IFERROR(H137/D137,0)</f>
        <v>0</v>
      </c>
      <c r="M137" s="9" t="n">
        <f aca="false">IFERROR(YEAR(A137),"")</f>
        <v>1899</v>
      </c>
      <c r="N137" s="9" t="n">
        <f aca="false">IFERROR(MONTH(A137),"")</f>
        <v>12</v>
      </c>
    </row>
    <row r="138" customFormat="false" ht="15" hidden="false" customHeight="false" outlineLevel="0" collapsed="false">
      <c r="A138" s="8"/>
      <c r="B138" s="9"/>
      <c r="C138" s="9"/>
      <c r="D138" s="10"/>
      <c r="E138" s="9"/>
      <c r="F138" s="9"/>
      <c r="G138" s="9"/>
      <c r="H138" s="10"/>
      <c r="I138" s="11" t="n">
        <f aca="false">IFERROR(F138/E138,0)</f>
        <v>0</v>
      </c>
      <c r="J138" s="10" t="n">
        <f aca="false">IFERROR(D138/F138,0)</f>
        <v>0</v>
      </c>
      <c r="K138" s="11" t="n">
        <f aca="false">IFERROR(G138/F138,0)</f>
        <v>0</v>
      </c>
      <c r="L138" s="12" t="n">
        <f aca="false">IFERROR(H138/D138,0)</f>
        <v>0</v>
      </c>
      <c r="M138" s="9" t="n">
        <f aca="false">IFERROR(YEAR(A138),"")</f>
        <v>1899</v>
      </c>
      <c r="N138" s="9" t="n">
        <f aca="false">IFERROR(MONTH(A138),"")</f>
        <v>12</v>
      </c>
    </row>
    <row r="139" customFormat="false" ht="15" hidden="false" customHeight="false" outlineLevel="0" collapsed="false">
      <c r="A139" s="8"/>
      <c r="B139" s="9"/>
      <c r="C139" s="9"/>
      <c r="D139" s="10"/>
      <c r="E139" s="9"/>
      <c r="F139" s="9"/>
      <c r="G139" s="9"/>
      <c r="H139" s="10"/>
      <c r="I139" s="11" t="n">
        <f aca="false">IFERROR(F139/E139,0)</f>
        <v>0</v>
      </c>
      <c r="J139" s="10" t="n">
        <f aca="false">IFERROR(D139/F139,0)</f>
        <v>0</v>
      </c>
      <c r="K139" s="11" t="n">
        <f aca="false">IFERROR(G139/F139,0)</f>
        <v>0</v>
      </c>
      <c r="L139" s="12" t="n">
        <f aca="false">IFERROR(H139/D139,0)</f>
        <v>0</v>
      </c>
      <c r="M139" s="9" t="n">
        <f aca="false">IFERROR(YEAR(A139),"")</f>
        <v>1899</v>
      </c>
      <c r="N139" s="9" t="n">
        <f aca="false">IFERROR(MONTH(A139),"")</f>
        <v>12</v>
      </c>
    </row>
    <row r="140" customFormat="false" ht="15" hidden="false" customHeight="false" outlineLevel="0" collapsed="false">
      <c r="A140" s="8"/>
      <c r="B140" s="9"/>
      <c r="C140" s="9"/>
      <c r="D140" s="10"/>
      <c r="E140" s="9"/>
      <c r="F140" s="9"/>
      <c r="G140" s="9"/>
      <c r="H140" s="10"/>
      <c r="I140" s="11" t="n">
        <f aca="false">IFERROR(F140/E140,0)</f>
        <v>0</v>
      </c>
      <c r="J140" s="10" t="n">
        <f aca="false">IFERROR(D140/F140,0)</f>
        <v>0</v>
      </c>
      <c r="K140" s="11" t="n">
        <f aca="false">IFERROR(G140/F140,0)</f>
        <v>0</v>
      </c>
      <c r="L140" s="12" t="n">
        <f aca="false">IFERROR(H140/D140,0)</f>
        <v>0</v>
      </c>
      <c r="M140" s="9" t="n">
        <f aca="false">IFERROR(YEAR(A140),"")</f>
        <v>1899</v>
      </c>
      <c r="N140" s="9" t="n">
        <f aca="false">IFERROR(MONTH(A140),"")</f>
        <v>12</v>
      </c>
    </row>
    <row r="141" customFormat="false" ht="15" hidden="false" customHeight="false" outlineLevel="0" collapsed="false">
      <c r="A141" s="8"/>
      <c r="B141" s="9"/>
      <c r="C141" s="9"/>
      <c r="D141" s="10"/>
      <c r="E141" s="9"/>
      <c r="F141" s="9"/>
      <c r="G141" s="9"/>
      <c r="H141" s="10"/>
      <c r="I141" s="11" t="n">
        <f aca="false">IFERROR(F141/E141,0)</f>
        <v>0</v>
      </c>
      <c r="J141" s="10" t="n">
        <f aca="false">IFERROR(D141/F141,0)</f>
        <v>0</v>
      </c>
      <c r="K141" s="11" t="n">
        <f aca="false">IFERROR(G141/F141,0)</f>
        <v>0</v>
      </c>
      <c r="L141" s="12" t="n">
        <f aca="false">IFERROR(H141/D141,0)</f>
        <v>0</v>
      </c>
      <c r="M141" s="9" t="n">
        <f aca="false">IFERROR(YEAR(A141),"")</f>
        <v>1899</v>
      </c>
      <c r="N141" s="9" t="n">
        <f aca="false">IFERROR(MONTH(A141),"")</f>
        <v>12</v>
      </c>
    </row>
    <row r="142" customFormat="false" ht="15" hidden="false" customHeight="false" outlineLevel="0" collapsed="false">
      <c r="A142" s="8"/>
      <c r="B142" s="9"/>
      <c r="C142" s="9"/>
      <c r="D142" s="10"/>
      <c r="E142" s="9"/>
      <c r="F142" s="9"/>
      <c r="G142" s="9"/>
      <c r="H142" s="10"/>
      <c r="I142" s="11" t="n">
        <f aca="false">IFERROR(F142/E142,0)</f>
        <v>0</v>
      </c>
      <c r="J142" s="10" t="n">
        <f aca="false">IFERROR(D142/F142,0)</f>
        <v>0</v>
      </c>
      <c r="K142" s="11" t="n">
        <f aca="false">IFERROR(G142/F142,0)</f>
        <v>0</v>
      </c>
      <c r="L142" s="12" t="n">
        <f aca="false">IFERROR(H142/D142,0)</f>
        <v>0</v>
      </c>
      <c r="M142" s="9" t="n">
        <f aca="false">IFERROR(YEAR(A142),"")</f>
        <v>1899</v>
      </c>
      <c r="N142" s="9" t="n">
        <f aca="false">IFERROR(MONTH(A142),"")</f>
        <v>12</v>
      </c>
    </row>
    <row r="143" customFormat="false" ht="15" hidden="false" customHeight="false" outlineLevel="0" collapsed="false">
      <c r="A143" s="8"/>
      <c r="B143" s="9"/>
      <c r="C143" s="9"/>
      <c r="D143" s="10"/>
      <c r="E143" s="9"/>
      <c r="F143" s="9"/>
      <c r="G143" s="9"/>
      <c r="H143" s="10"/>
      <c r="I143" s="11" t="n">
        <f aca="false">IFERROR(F143/E143,0)</f>
        <v>0</v>
      </c>
      <c r="J143" s="10" t="n">
        <f aca="false">IFERROR(D143/F143,0)</f>
        <v>0</v>
      </c>
      <c r="K143" s="11" t="n">
        <f aca="false">IFERROR(G143/F143,0)</f>
        <v>0</v>
      </c>
      <c r="L143" s="12" t="n">
        <f aca="false">IFERROR(H143/D143,0)</f>
        <v>0</v>
      </c>
      <c r="M143" s="9" t="n">
        <f aca="false">IFERROR(YEAR(A143),"")</f>
        <v>1899</v>
      </c>
      <c r="N143" s="9" t="n">
        <f aca="false">IFERROR(MONTH(A143),"")</f>
        <v>12</v>
      </c>
    </row>
    <row r="144" customFormat="false" ht="15" hidden="false" customHeight="false" outlineLevel="0" collapsed="false">
      <c r="A144" s="8"/>
      <c r="B144" s="9"/>
      <c r="C144" s="9"/>
      <c r="D144" s="10"/>
      <c r="E144" s="9"/>
      <c r="F144" s="9"/>
      <c r="G144" s="9"/>
      <c r="H144" s="10"/>
      <c r="I144" s="11" t="n">
        <f aca="false">IFERROR(F144/E144,0)</f>
        <v>0</v>
      </c>
      <c r="J144" s="10" t="n">
        <f aca="false">IFERROR(D144/F144,0)</f>
        <v>0</v>
      </c>
      <c r="K144" s="11" t="n">
        <f aca="false">IFERROR(G144/F144,0)</f>
        <v>0</v>
      </c>
      <c r="L144" s="12" t="n">
        <f aca="false">IFERROR(H144/D144,0)</f>
        <v>0</v>
      </c>
      <c r="M144" s="9" t="n">
        <f aca="false">IFERROR(YEAR(A144),"")</f>
        <v>1899</v>
      </c>
      <c r="N144" s="9" t="n">
        <f aca="false">IFERROR(MONTH(A144),"")</f>
        <v>12</v>
      </c>
    </row>
    <row r="145" customFormat="false" ht="15" hidden="false" customHeight="false" outlineLevel="0" collapsed="false">
      <c r="A145" s="8"/>
      <c r="B145" s="9"/>
      <c r="C145" s="9"/>
      <c r="D145" s="10"/>
      <c r="E145" s="9"/>
      <c r="F145" s="9"/>
      <c r="G145" s="9"/>
      <c r="H145" s="10"/>
      <c r="I145" s="11" t="n">
        <f aca="false">IFERROR(F145/E145,0)</f>
        <v>0</v>
      </c>
      <c r="J145" s="10" t="n">
        <f aca="false">IFERROR(D145/F145,0)</f>
        <v>0</v>
      </c>
      <c r="K145" s="11" t="n">
        <f aca="false">IFERROR(G145/F145,0)</f>
        <v>0</v>
      </c>
      <c r="L145" s="12" t="n">
        <f aca="false">IFERROR(H145/D145,0)</f>
        <v>0</v>
      </c>
      <c r="M145" s="9" t="n">
        <f aca="false">IFERROR(YEAR(A145),"")</f>
        <v>1899</v>
      </c>
      <c r="N145" s="9" t="n">
        <f aca="false">IFERROR(MONTH(A145),"")</f>
        <v>12</v>
      </c>
    </row>
    <row r="146" customFormat="false" ht="15" hidden="false" customHeight="false" outlineLevel="0" collapsed="false">
      <c r="A146" s="8"/>
      <c r="B146" s="9"/>
      <c r="C146" s="9"/>
      <c r="D146" s="10"/>
      <c r="E146" s="9"/>
      <c r="F146" s="9"/>
      <c r="G146" s="9"/>
      <c r="H146" s="10"/>
      <c r="I146" s="11" t="n">
        <f aca="false">IFERROR(F146/E146,0)</f>
        <v>0</v>
      </c>
      <c r="J146" s="10" t="n">
        <f aca="false">IFERROR(D146/F146,0)</f>
        <v>0</v>
      </c>
      <c r="K146" s="11" t="n">
        <f aca="false">IFERROR(G146/F146,0)</f>
        <v>0</v>
      </c>
      <c r="L146" s="12" t="n">
        <f aca="false">IFERROR(H146/D146,0)</f>
        <v>0</v>
      </c>
      <c r="M146" s="9" t="n">
        <f aca="false">IFERROR(YEAR(A146),"")</f>
        <v>1899</v>
      </c>
      <c r="N146" s="9" t="n">
        <f aca="false">IFERROR(MONTH(A146),"")</f>
        <v>12</v>
      </c>
    </row>
    <row r="147" customFormat="false" ht="15" hidden="false" customHeight="false" outlineLevel="0" collapsed="false">
      <c r="A147" s="8"/>
      <c r="B147" s="9"/>
      <c r="C147" s="9"/>
      <c r="D147" s="10"/>
      <c r="E147" s="9"/>
      <c r="F147" s="9"/>
      <c r="G147" s="9"/>
      <c r="H147" s="10"/>
      <c r="I147" s="11" t="n">
        <f aca="false">IFERROR(F147/E147,0)</f>
        <v>0</v>
      </c>
      <c r="J147" s="10" t="n">
        <f aca="false">IFERROR(D147/F147,0)</f>
        <v>0</v>
      </c>
      <c r="K147" s="11" t="n">
        <f aca="false">IFERROR(G147/F147,0)</f>
        <v>0</v>
      </c>
      <c r="L147" s="12" t="n">
        <f aca="false">IFERROR(H147/D147,0)</f>
        <v>0</v>
      </c>
      <c r="M147" s="9" t="n">
        <f aca="false">IFERROR(YEAR(A147),"")</f>
        <v>1899</v>
      </c>
      <c r="N147" s="9" t="n">
        <f aca="false">IFERROR(MONTH(A147),"")</f>
        <v>12</v>
      </c>
    </row>
    <row r="148" customFormat="false" ht="15" hidden="false" customHeight="false" outlineLevel="0" collapsed="false">
      <c r="A148" s="8"/>
      <c r="B148" s="9"/>
      <c r="C148" s="9"/>
      <c r="D148" s="10"/>
      <c r="E148" s="9"/>
      <c r="F148" s="9"/>
      <c r="G148" s="9"/>
      <c r="H148" s="10"/>
      <c r="I148" s="11" t="n">
        <f aca="false">IFERROR(F148/E148,0)</f>
        <v>0</v>
      </c>
      <c r="J148" s="10" t="n">
        <f aca="false">IFERROR(D148/F148,0)</f>
        <v>0</v>
      </c>
      <c r="K148" s="11" t="n">
        <f aca="false">IFERROR(G148/F148,0)</f>
        <v>0</v>
      </c>
      <c r="L148" s="12" t="n">
        <f aca="false">IFERROR(H148/D148,0)</f>
        <v>0</v>
      </c>
      <c r="M148" s="9" t="n">
        <f aca="false">IFERROR(YEAR(A148),"")</f>
        <v>1899</v>
      </c>
      <c r="N148" s="9" t="n">
        <f aca="false">IFERROR(MONTH(A148),"")</f>
        <v>12</v>
      </c>
    </row>
    <row r="149" customFormat="false" ht="15" hidden="false" customHeight="false" outlineLevel="0" collapsed="false">
      <c r="A149" s="8"/>
      <c r="B149" s="9"/>
      <c r="C149" s="9"/>
      <c r="D149" s="10"/>
      <c r="E149" s="9"/>
      <c r="F149" s="9"/>
      <c r="G149" s="9"/>
      <c r="H149" s="10"/>
      <c r="I149" s="11" t="n">
        <f aca="false">IFERROR(F149/E149,0)</f>
        <v>0</v>
      </c>
      <c r="J149" s="10" t="n">
        <f aca="false">IFERROR(D149/F149,0)</f>
        <v>0</v>
      </c>
      <c r="K149" s="11" t="n">
        <f aca="false">IFERROR(G149/F149,0)</f>
        <v>0</v>
      </c>
      <c r="L149" s="12" t="n">
        <f aca="false">IFERROR(H149/D149,0)</f>
        <v>0</v>
      </c>
      <c r="M149" s="9" t="n">
        <f aca="false">IFERROR(YEAR(A149),"")</f>
        <v>1899</v>
      </c>
      <c r="N149" s="9" t="n">
        <f aca="false">IFERROR(MONTH(A149),"")</f>
        <v>12</v>
      </c>
    </row>
    <row r="150" customFormat="false" ht="15" hidden="false" customHeight="false" outlineLevel="0" collapsed="false">
      <c r="A150" s="8"/>
      <c r="B150" s="9"/>
      <c r="C150" s="9"/>
      <c r="D150" s="10"/>
      <c r="E150" s="9"/>
      <c r="F150" s="9"/>
      <c r="G150" s="9"/>
      <c r="H150" s="10"/>
      <c r="I150" s="11" t="n">
        <f aca="false">IFERROR(F150/E150,0)</f>
        <v>0</v>
      </c>
      <c r="J150" s="10" t="n">
        <f aca="false">IFERROR(D150/F150,0)</f>
        <v>0</v>
      </c>
      <c r="K150" s="11" t="n">
        <f aca="false">IFERROR(G150/F150,0)</f>
        <v>0</v>
      </c>
      <c r="L150" s="12" t="n">
        <f aca="false">IFERROR(H150/D150,0)</f>
        <v>0</v>
      </c>
      <c r="M150" s="9" t="n">
        <f aca="false">IFERROR(YEAR(A150),"")</f>
        <v>1899</v>
      </c>
      <c r="N150" s="9" t="n">
        <f aca="false">IFERROR(MONTH(A150),"")</f>
        <v>12</v>
      </c>
    </row>
    <row r="151" customFormat="false" ht="15" hidden="false" customHeight="false" outlineLevel="0" collapsed="false">
      <c r="A151" s="8"/>
      <c r="B151" s="9"/>
      <c r="C151" s="9"/>
      <c r="D151" s="10"/>
      <c r="E151" s="9"/>
      <c r="F151" s="9"/>
      <c r="G151" s="9"/>
      <c r="H151" s="10"/>
      <c r="I151" s="11" t="n">
        <f aca="false">IFERROR(F151/E151,0)</f>
        <v>0</v>
      </c>
      <c r="J151" s="10" t="n">
        <f aca="false">IFERROR(D151/F151,0)</f>
        <v>0</v>
      </c>
      <c r="K151" s="11" t="n">
        <f aca="false">IFERROR(G151/F151,0)</f>
        <v>0</v>
      </c>
      <c r="L151" s="12" t="n">
        <f aca="false">IFERROR(H151/D151,0)</f>
        <v>0</v>
      </c>
      <c r="M151" s="9" t="n">
        <f aca="false">IFERROR(YEAR(A151),"")</f>
        <v>1899</v>
      </c>
      <c r="N151" s="9" t="n">
        <f aca="false">IFERROR(MONTH(A151),"")</f>
        <v>12</v>
      </c>
    </row>
    <row r="152" customFormat="false" ht="15" hidden="false" customHeight="false" outlineLevel="0" collapsed="false">
      <c r="A152" s="8"/>
      <c r="B152" s="9"/>
      <c r="C152" s="9"/>
      <c r="D152" s="10"/>
      <c r="E152" s="9"/>
      <c r="F152" s="9"/>
      <c r="G152" s="9"/>
      <c r="H152" s="10"/>
      <c r="I152" s="11" t="n">
        <f aca="false">IFERROR(F152/E152,0)</f>
        <v>0</v>
      </c>
      <c r="J152" s="10" t="n">
        <f aca="false">IFERROR(D152/F152,0)</f>
        <v>0</v>
      </c>
      <c r="K152" s="11" t="n">
        <f aca="false">IFERROR(G152/F152,0)</f>
        <v>0</v>
      </c>
      <c r="L152" s="12" t="n">
        <f aca="false">IFERROR(H152/D152,0)</f>
        <v>0</v>
      </c>
      <c r="M152" s="9" t="n">
        <f aca="false">IFERROR(YEAR(A152),"")</f>
        <v>1899</v>
      </c>
      <c r="N152" s="9" t="n">
        <f aca="false">IFERROR(MONTH(A152),"")</f>
        <v>12</v>
      </c>
    </row>
  </sheetData>
  <mergeCells count="1">
    <mergeCell ref="A1:N1"/>
  </mergeCells>
  <conditionalFormatting sqref="L3:L152">
    <cfRule type="colorScale" priority="2">
      <colorScale>
        <cfvo type="num" val="0"/>
        <cfvo type="num" val="1"/>
        <cfvo type="num" val="3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B3:B152" type="list">
      <formula1>Setup!$A$4:$A$9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17"/>
  </cols>
  <sheetData>
    <row r="1" customFormat="false" ht="16.1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33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30</v>
      </c>
      <c r="B3" s="13" t="n">
        <v>2026</v>
      </c>
      <c r="C3" s="5" t="s">
        <v>31</v>
      </c>
      <c r="D3" s="13" t="n">
        <v>1</v>
      </c>
    </row>
    <row r="5" customFormat="false" ht="27.75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</row>
    <row r="6" customFormat="false" ht="24" hidden="false" customHeight="true" outlineLevel="0" collapsed="false">
      <c r="A6" s="15" t="n">
        <f aca="false">SUMIFS('Campaign Data'!$D$3:$D$152,'Campaign Data'!$M$3:$M$152,$B$3,'Campaign Data'!$N$3:$N$152,$D$3)</f>
        <v>0</v>
      </c>
      <c r="B6" s="15" t="n">
        <f aca="false">SUMIFS('Campaign Data'!$H$3:$H$152,'Campaign Data'!$M$3:$M$152,$B$3,'Campaign Data'!$N$3:$N$152,$D$3)</f>
        <v>0</v>
      </c>
      <c r="C6" s="16" t="n">
        <f aca="false">IFERROR(B6/A6,0)</f>
        <v>0</v>
      </c>
      <c r="D6" s="17" t="n">
        <f aca="false">IFERROR(SUMIFS('Campaign Data'!$F$3:$F$152,'Campaign Data'!$M$3:$M$152,$B$3,'Campaign Data'!$N$3:$N$152,$D$3)/SUMIFS('Campaign Data'!$E$3:$E$152,'Campaign Data'!$M$3:$M$152,$B$3,'Campaign Data'!$N$3:$N$152,$D$3),0)</f>
        <v>0</v>
      </c>
      <c r="E6" s="15" t="n">
        <f aca="false">IFERROR(A6/SUMIFS('Campaign Data'!$F$3:$F$152,'Campaign Data'!$M$3:$M$152,$B$3,'Campaign Data'!$N$3:$N$152,$D$3),0)</f>
        <v>0</v>
      </c>
    </row>
    <row r="9" customFormat="false" ht="15" hidden="false" customHeight="false" outlineLevel="0" collapsed="false">
      <c r="A9" s="5" t="s">
        <v>39</v>
      </c>
    </row>
    <row r="10" customFormat="false" ht="15" hidden="false" customHeight="false" outlineLevel="0" collapsed="false">
      <c r="A10" s="7" t="s">
        <v>19</v>
      </c>
      <c r="B10" s="7" t="s">
        <v>40</v>
      </c>
      <c r="C10" s="7" t="s">
        <v>41</v>
      </c>
      <c r="D10" s="7" t="s">
        <v>29</v>
      </c>
    </row>
    <row r="11" customFormat="false" ht="15" hidden="false" customHeight="false" outlineLevel="0" collapsed="false">
      <c r="A11" s="6" t="s">
        <v>11</v>
      </c>
      <c r="B11" s="18" t="n">
        <f aca="false">SUMIFS('Campaign Data'!$D$3:$D$152,'Campaign Data'!$B$3:$B$152,"Meta (Facebook/Instagram)",'Campaign Data'!$M$3:$M$152,$B$3,'Campaign Data'!$N$3:$N$152,$D$3)</f>
        <v>0</v>
      </c>
      <c r="C11" s="18" t="n">
        <f aca="false">SUMIFS('Campaign Data'!$H$3:$H$152,'Campaign Data'!$B$3:$B$152,"Meta (Facebook/Instagram)",'Campaign Data'!$M$3:$M$152,$B$3,'Campaign Data'!$N$3:$N$152,$D$3)</f>
        <v>0</v>
      </c>
      <c r="D11" s="19" t="n">
        <f aca="false">IFERROR(C11/B11,0)</f>
        <v>0</v>
      </c>
    </row>
    <row r="12" customFormat="false" ht="15" hidden="false" customHeight="false" outlineLevel="0" collapsed="false">
      <c r="A12" s="6" t="s">
        <v>12</v>
      </c>
      <c r="B12" s="18" t="n">
        <f aca="false">SUMIFS('Campaign Data'!$D$3:$D$152,'Campaign Data'!$B$3:$B$152,"TikTok",'Campaign Data'!$M$3:$M$152,$B$3,'Campaign Data'!$N$3:$N$152,$D$3)</f>
        <v>0</v>
      </c>
      <c r="C12" s="18" t="n">
        <f aca="false">SUMIFS('Campaign Data'!$H$3:$H$152,'Campaign Data'!$B$3:$B$152,"TikTok",'Campaign Data'!$M$3:$M$152,$B$3,'Campaign Data'!$N$3:$N$152,$D$3)</f>
        <v>0</v>
      </c>
      <c r="D12" s="19" t="n">
        <f aca="false">IFERROR(C12/B12,0)</f>
        <v>0</v>
      </c>
    </row>
    <row r="13" customFormat="false" ht="15" hidden="false" customHeight="false" outlineLevel="0" collapsed="false">
      <c r="A13" s="6" t="s">
        <v>13</v>
      </c>
      <c r="B13" s="18" t="n">
        <f aca="false">SUMIFS('Campaign Data'!$D$3:$D$152,'Campaign Data'!$B$3:$B$152,"Google",'Campaign Data'!$M$3:$M$152,$B$3,'Campaign Data'!$N$3:$N$152,$D$3)</f>
        <v>0</v>
      </c>
      <c r="C13" s="18" t="n">
        <f aca="false">SUMIFS('Campaign Data'!$H$3:$H$152,'Campaign Data'!$B$3:$B$152,"Google",'Campaign Data'!$M$3:$M$152,$B$3,'Campaign Data'!$N$3:$N$152,$D$3)</f>
        <v>0</v>
      </c>
      <c r="D13" s="19" t="n">
        <f aca="false">IFERROR(C13/B13,0)</f>
        <v>0</v>
      </c>
    </row>
    <row r="14" customFormat="false" ht="15" hidden="false" customHeight="false" outlineLevel="0" collapsed="false">
      <c r="A14" s="6" t="s">
        <v>14</v>
      </c>
      <c r="B14" s="18" t="n">
        <f aca="false">SUMIFS('Campaign Data'!$D$3:$D$152,'Campaign Data'!$B$3:$B$152,"Pinterest",'Campaign Data'!$M$3:$M$152,$B$3,'Campaign Data'!$N$3:$N$152,$D$3)</f>
        <v>0</v>
      </c>
      <c r="C14" s="18" t="n">
        <f aca="false">SUMIFS('Campaign Data'!$H$3:$H$152,'Campaign Data'!$B$3:$B$152,"Pinterest",'Campaign Data'!$M$3:$M$152,$B$3,'Campaign Data'!$N$3:$N$152,$D$3)</f>
        <v>0</v>
      </c>
      <c r="D14" s="19" t="n">
        <f aca="false">IFERROR(C14/B14,0)</f>
        <v>0</v>
      </c>
    </row>
    <row r="15" customFormat="false" ht="15" hidden="false" customHeight="false" outlineLevel="0" collapsed="false">
      <c r="A15" s="6" t="s">
        <v>15</v>
      </c>
      <c r="B15" s="18" t="n">
        <f aca="false">SUMIFS('Campaign Data'!$D$3:$D$152,'Campaign Data'!$B$3:$B$152,"Etsy Ads",'Campaign Data'!$M$3:$M$152,$B$3,'Campaign Data'!$N$3:$N$152,$D$3)</f>
        <v>0</v>
      </c>
      <c r="C15" s="18" t="n">
        <f aca="false">SUMIFS('Campaign Data'!$H$3:$H$152,'Campaign Data'!$B$3:$B$152,"Etsy Ads",'Campaign Data'!$M$3:$M$152,$B$3,'Campaign Data'!$N$3:$N$152,$D$3)</f>
        <v>0</v>
      </c>
      <c r="D15" s="19" t="n">
        <f aca="false">IFERROR(C15/B15,0)</f>
        <v>0</v>
      </c>
    </row>
    <row r="16" customFormat="false" ht="15" hidden="false" customHeight="false" outlineLevel="0" collapsed="false">
      <c r="A16" s="6" t="s">
        <v>16</v>
      </c>
      <c r="B16" s="18" t="n">
        <f aca="false">SUMIFS('Campaign Data'!$D$3:$D$152,'Campaign Data'!$B$3:$B$152,"Other",'Campaign Data'!$M$3:$M$152,$B$3,'Campaign Data'!$N$3:$N$152,$D$3)</f>
        <v>0</v>
      </c>
      <c r="C16" s="18" t="n">
        <f aca="false">SUMIFS('Campaign Data'!$H$3:$H$152,'Campaign Data'!$B$3:$B$152,"Other",'Campaign Data'!$M$3:$M$152,$B$3,'Campaign Data'!$N$3:$N$152,$D$3)</f>
        <v>0</v>
      </c>
      <c r="D16" s="19" t="n">
        <f aca="false">IFERROR(C16/B16,0)</f>
        <v>0</v>
      </c>
    </row>
    <row r="20" customFormat="false" ht="15" hidden="false" customHeight="false" outlineLevel="0" collapsed="false">
      <c r="A20" s="5" t="s">
        <v>42</v>
      </c>
    </row>
    <row r="21" customFormat="false" ht="15" hidden="false" customHeight="false" outlineLevel="0" collapsed="false">
      <c r="A21" s="7" t="s">
        <v>31</v>
      </c>
      <c r="B21" s="7" t="s">
        <v>40</v>
      </c>
      <c r="C21" s="7" t="s">
        <v>41</v>
      </c>
    </row>
    <row r="22" customFormat="false" ht="15" hidden="false" customHeight="false" outlineLevel="0" collapsed="false">
      <c r="A22" s="6" t="s">
        <v>43</v>
      </c>
      <c r="B22" s="18" t="n">
        <f aca="false">SUMIFS('Campaign Data'!$D$3:$D$152,'Campaign Data'!$M$3:$M$152,$B$3,'Campaign Data'!$N$3:$N$152,1)</f>
        <v>0</v>
      </c>
      <c r="C22" s="18" t="n">
        <f aca="false">SUMIFS('Campaign Data'!$H$3:$H$152,'Campaign Data'!$M$3:$M$152,$B$3,'Campaign Data'!$N$3:$N$152,1)</f>
        <v>0</v>
      </c>
    </row>
    <row r="23" customFormat="false" ht="15" hidden="false" customHeight="false" outlineLevel="0" collapsed="false">
      <c r="A23" s="6" t="s">
        <v>44</v>
      </c>
      <c r="B23" s="18" t="n">
        <f aca="false">SUMIFS('Campaign Data'!$D$3:$D$152,'Campaign Data'!$M$3:$M$152,$B$3,'Campaign Data'!$N$3:$N$152,2)</f>
        <v>0</v>
      </c>
      <c r="C23" s="18" t="n">
        <f aca="false">SUMIFS('Campaign Data'!$H$3:$H$152,'Campaign Data'!$M$3:$M$152,$B$3,'Campaign Data'!$N$3:$N$152,2)</f>
        <v>0</v>
      </c>
    </row>
    <row r="24" customFormat="false" ht="15" hidden="false" customHeight="false" outlineLevel="0" collapsed="false">
      <c r="A24" s="6" t="s">
        <v>45</v>
      </c>
      <c r="B24" s="18" t="n">
        <f aca="false">SUMIFS('Campaign Data'!$D$3:$D$152,'Campaign Data'!$M$3:$M$152,$B$3,'Campaign Data'!$N$3:$N$152,3)</f>
        <v>0</v>
      </c>
      <c r="C24" s="18" t="n">
        <f aca="false">SUMIFS('Campaign Data'!$H$3:$H$152,'Campaign Data'!$M$3:$M$152,$B$3,'Campaign Data'!$N$3:$N$152,3)</f>
        <v>0</v>
      </c>
    </row>
    <row r="25" customFormat="false" ht="15" hidden="false" customHeight="false" outlineLevel="0" collapsed="false">
      <c r="A25" s="6" t="s">
        <v>46</v>
      </c>
      <c r="B25" s="18" t="n">
        <f aca="false">SUMIFS('Campaign Data'!$D$3:$D$152,'Campaign Data'!$M$3:$M$152,$B$3,'Campaign Data'!$N$3:$N$152,4)</f>
        <v>0</v>
      </c>
      <c r="C25" s="18" t="n">
        <f aca="false">SUMIFS('Campaign Data'!$H$3:$H$152,'Campaign Data'!$M$3:$M$152,$B$3,'Campaign Data'!$N$3:$N$152,4)</f>
        <v>0</v>
      </c>
    </row>
    <row r="26" customFormat="false" ht="15" hidden="false" customHeight="false" outlineLevel="0" collapsed="false">
      <c r="A26" s="6" t="s">
        <v>47</v>
      </c>
      <c r="B26" s="18" t="n">
        <f aca="false">SUMIFS('Campaign Data'!$D$3:$D$152,'Campaign Data'!$M$3:$M$152,$B$3,'Campaign Data'!$N$3:$N$152,5)</f>
        <v>0</v>
      </c>
      <c r="C26" s="18" t="n">
        <f aca="false">SUMIFS('Campaign Data'!$H$3:$H$152,'Campaign Data'!$M$3:$M$152,$B$3,'Campaign Data'!$N$3:$N$152,5)</f>
        <v>0</v>
      </c>
    </row>
    <row r="27" customFormat="false" ht="15" hidden="false" customHeight="false" outlineLevel="0" collapsed="false">
      <c r="A27" s="6" t="s">
        <v>48</v>
      </c>
      <c r="B27" s="18" t="n">
        <f aca="false">SUMIFS('Campaign Data'!$D$3:$D$152,'Campaign Data'!$M$3:$M$152,$B$3,'Campaign Data'!$N$3:$N$152,6)</f>
        <v>0</v>
      </c>
      <c r="C27" s="18" t="n">
        <f aca="false">SUMIFS('Campaign Data'!$H$3:$H$152,'Campaign Data'!$M$3:$M$152,$B$3,'Campaign Data'!$N$3:$N$152,6)</f>
        <v>0</v>
      </c>
    </row>
    <row r="28" customFormat="false" ht="15" hidden="false" customHeight="false" outlineLevel="0" collapsed="false">
      <c r="A28" s="6" t="s">
        <v>49</v>
      </c>
      <c r="B28" s="18" t="n">
        <f aca="false">SUMIFS('Campaign Data'!$D$3:$D$152,'Campaign Data'!$M$3:$M$152,$B$3,'Campaign Data'!$N$3:$N$152,7)</f>
        <v>0</v>
      </c>
      <c r="C28" s="18" t="n">
        <f aca="false">SUMIFS('Campaign Data'!$H$3:$H$152,'Campaign Data'!$M$3:$M$152,$B$3,'Campaign Data'!$N$3:$N$152,7)</f>
        <v>0</v>
      </c>
    </row>
    <row r="29" customFormat="false" ht="15" hidden="false" customHeight="false" outlineLevel="0" collapsed="false">
      <c r="A29" s="6" t="s">
        <v>50</v>
      </c>
      <c r="B29" s="18" t="n">
        <f aca="false">SUMIFS('Campaign Data'!$D$3:$D$152,'Campaign Data'!$M$3:$M$152,$B$3,'Campaign Data'!$N$3:$N$152,8)</f>
        <v>0</v>
      </c>
      <c r="C29" s="18" t="n">
        <f aca="false">SUMIFS('Campaign Data'!$H$3:$H$152,'Campaign Data'!$M$3:$M$152,$B$3,'Campaign Data'!$N$3:$N$152,8)</f>
        <v>0</v>
      </c>
    </row>
    <row r="30" customFormat="false" ht="15" hidden="false" customHeight="false" outlineLevel="0" collapsed="false">
      <c r="A30" s="6" t="s">
        <v>51</v>
      </c>
      <c r="B30" s="18" t="n">
        <f aca="false">SUMIFS('Campaign Data'!$D$3:$D$152,'Campaign Data'!$M$3:$M$152,$B$3,'Campaign Data'!$N$3:$N$152,9)</f>
        <v>0</v>
      </c>
      <c r="C30" s="18" t="n">
        <f aca="false">SUMIFS('Campaign Data'!$H$3:$H$152,'Campaign Data'!$M$3:$M$152,$B$3,'Campaign Data'!$N$3:$N$152,9)</f>
        <v>0</v>
      </c>
    </row>
    <row r="31" customFormat="false" ht="15" hidden="false" customHeight="false" outlineLevel="0" collapsed="false">
      <c r="A31" s="6" t="s">
        <v>52</v>
      </c>
      <c r="B31" s="18" t="n">
        <f aca="false">SUMIFS('Campaign Data'!$D$3:$D$152,'Campaign Data'!$M$3:$M$152,$B$3,'Campaign Data'!$N$3:$N$152,10)</f>
        <v>0</v>
      </c>
      <c r="C31" s="18" t="n">
        <f aca="false">SUMIFS('Campaign Data'!$H$3:$H$152,'Campaign Data'!$M$3:$M$152,$B$3,'Campaign Data'!$N$3:$N$152,10)</f>
        <v>0</v>
      </c>
    </row>
    <row r="32" customFormat="false" ht="15" hidden="false" customHeight="false" outlineLevel="0" collapsed="false">
      <c r="A32" s="6" t="s">
        <v>53</v>
      </c>
      <c r="B32" s="18" t="n">
        <f aca="false">SUMIFS('Campaign Data'!$D$3:$D$152,'Campaign Data'!$M$3:$M$152,$B$3,'Campaign Data'!$N$3:$N$152,11)</f>
        <v>0</v>
      </c>
      <c r="C32" s="18" t="n">
        <f aca="false">SUMIFS('Campaign Data'!$H$3:$H$152,'Campaign Data'!$M$3:$M$152,$B$3,'Campaign Data'!$N$3:$N$152,11)</f>
        <v>0</v>
      </c>
    </row>
    <row r="33" customFormat="false" ht="15" hidden="false" customHeight="false" outlineLevel="0" collapsed="false">
      <c r="A33" s="6" t="s">
        <v>54</v>
      </c>
      <c r="B33" s="18" t="n">
        <f aca="false">SUMIFS('Campaign Data'!$D$3:$D$152,'Campaign Data'!$M$3:$M$152,$B$3,'Campaign Data'!$N$3:$N$152,12)</f>
        <v>0</v>
      </c>
      <c r="C33" s="18" t="n">
        <f aca="false">SUMIFS('Campaign Data'!$H$3:$H$152,'Campaign Data'!$M$3:$M$152,$B$3,'Campaign Data'!$N$3:$N$152,12)</f>
        <v>0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D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55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7" t="s">
        <v>56</v>
      </c>
      <c r="B3" s="7" t="s">
        <v>57</v>
      </c>
    </row>
    <row r="4" customFormat="false" ht="25.5" hidden="false" customHeight="true" outlineLevel="0" collapsed="false">
      <c r="A4" s="6" t="s">
        <v>58</v>
      </c>
      <c r="B4" s="20" t="s">
        <v>59</v>
      </c>
    </row>
    <row r="5" customFormat="false" ht="25.5" hidden="false" customHeight="true" outlineLevel="0" collapsed="false">
      <c r="A5" s="6" t="s">
        <v>60</v>
      </c>
      <c r="B5" s="20" t="s">
        <v>61</v>
      </c>
    </row>
    <row r="6" customFormat="false" ht="25.5" hidden="false" customHeight="true" outlineLevel="0" collapsed="false">
      <c r="A6" s="6" t="s">
        <v>62</v>
      </c>
      <c r="B6" s="20" t="s">
        <v>63</v>
      </c>
    </row>
    <row r="7" customFormat="false" ht="25.5" hidden="false" customHeight="true" outlineLevel="0" collapsed="false">
      <c r="A7" s="6" t="s">
        <v>64</v>
      </c>
      <c r="B7" s="20" t="s">
        <v>65</v>
      </c>
    </row>
    <row r="8" customFormat="false" ht="25.5" hidden="false" customHeight="true" outlineLevel="0" collapsed="false">
      <c r="A8" s="6" t="s">
        <v>66</v>
      </c>
      <c r="B8" s="20" t="s">
        <v>67</v>
      </c>
    </row>
    <row r="10" customFormat="false" ht="15" hidden="false" customHeight="false" outlineLevel="0" collapsed="false">
      <c r="A10" s="3" t="s">
        <v>7</v>
      </c>
      <c r="B10" s="3"/>
    </row>
  </sheetData>
  <mergeCells count="2">
    <mergeCell ref="A1:H1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2026-08-15T15:53:40Z</dcterms:created>
  <dc:creator>openpyxl</dc:creator>
  <dc:description/>
  <dc:language>en-US</dc:language>
  <cp:lastModifiedBy/>
  <dcterms:modified xsi:type="dcterms:W3CDTF">2026-08-15T15:53:42Z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