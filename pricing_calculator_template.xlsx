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up" sheetId="2" state="visible" r:id="rId4"/>
    <sheet name="Pricing Calculat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<sst xmlns="http://schemas.openxmlformats.org/spreadsheetml/2006/main" count="54" uniqueCount="53">
  <si>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t xml:space="preserve">How to Use This Pricing Calculator</t>
  </si>
  <si>
    <t xml:space="preserve">1. Open 'Setup' first. Set your hourly labor rate, overhead %, desired markup %, and your marketplace's fee structure (defaults are Etsy's published rates — adjust if you sell elsewhere).</t>
  </si>
  <si>
    <t xml:space="preserve">2. In 'Pricing Calculator', add a row per product: Materials Cost and Labor Hours. Everything else calculates automatically.</t>
  </si>
  <si>
    <t xml:space="preserve">3. Five pricing methods are shown side by side: Cost-Plus Markup, Keystone (2x), Hourly Rate, Value-Based (you set it), and Competitor-Matched (you set it) — so you can compare before deciding.</t>
  </si>
  <si>
    <t xml:space="preserve">4. 'Recommended Price' averages the three calculated methods. 'Your Listed Price' defaults to that but you can type over it with whatever you actually plan to charge.</t>
  </si>
  <si>
    <t xml:space="preserve">5. 'Net Profit After Fees' and 'Net Margin After Fees' show what you actually keep once marketplace fees come out — not just your markup on paper.</t>
  </si>
  <si>
    <t xml:space="preserve">6. Use the 'Break-Even Estimator' at the top of the Pricing Calculator tab to see how many units of a chosen product you need to sell per month to cover your fixed overhead.</t>
  </si>
  <si>
    <t xml:space="preserve">7. Only edit yellow (input) or white cells. Green-header and formula cells update automatically — do not overwrite them.</t>
  </si>
  <si>
    <t xml:space="preserve">Prepared for {{CLIENT_NAME}} ({{NICHE}}). Amounts are in {{CURRENCY}}.</t>
  </si>
  <si>
    <t xml:space="preserve">{{CLIENT_NAME}} — Setup</t>
  </si>
  <si>
    <t xml:space="preserve">{{NICHE}} — configure once, everything else updates automatically</t>
  </si>
  <si>
    <t xml:space="preserve">Setting</t>
  </si>
  <si>
    <t xml:space="preserve">Value</t>
  </si>
  <si>
    <t xml:space="preserve">Hourly Labor Rate ({{CURRENCY}})</t>
  </si>
  <si>
    <t xml:space="preserve">Overhead % (of materials + labor)</t>
  </si>
  <si>
    <t xml:space="preserve">Desired Markup % (Cost-Plus method)</t>
  </si>
  <si>
    <t xml:space="preserve">Marketplace Transaction Fee %</t>
  </si>
  <si>
    <t xml:space="preserve">Marketplace Payment Processing %</t>
  </si>
  <si>
    <t xml:space="preserve">Marketplace Payment Processing Fixed Fee ({{CURRENCY}})</t>
  </si>
  <si>
    <t xml:space="preserve">Marketplace Listing Fee per Sale ({{CURRENCY}})</t>
  </si>
  <si>
    <t xml:space="preserve">Monthly Fixed Overhead ({{CURRENCY}})</t>
  </si>
  <si>
    <t xml:space="preserve">Defaults reflect Etsy's published US fee structure as a starting point — update these if you sell elsewhere or rates change. Listing fee is amortized as a flat per-sale cost for simplicity.</t>
  </si>
  <si>
    <t xml:space="preserve">{{CLIENT_NAME}} — Pricing Calculator</t>
  </si>
  <si>
    <t xml:space="preserve">{{NICHE}} — 5 pricing methods, figures in {{CURRENCY}}</t>
  </si>
  <si>
    <t xml:space="preserve">Break-Even Estimator</t>
  </si>
  <si>
    <t xml:space="preserve">Pricing Method Comparison — Selected Product</t>
  </si>
  <si>
    <t xml:space="preserve">Product</t>
  </si>
  <si>
    <t xml:space="preserve">Profit per Unit ({{CURRENCY}})</t>
  </si>
  <si>
    <t xml:space="preserve">Units/Month to Break Even</t>
  </si>
  <si>
    <t xml:space="preserve">Method</t>
  </si>
  <si>
    <t xml:space="preserve">Price</t>
  </si>
  <si>
    <t xml:space="preserve">Cost-Plus</t>
  </si>
  <si>
    <t xml:space="preserve">Keystone (2x)</t>
  </si>
  <si>
    <t xml:space="preserve">Product Pricing Table — enter Materials Cost and Labor Hours; everything else calculates automatically.</t>
  </si>
  <si>
    <t xml:space="preserve">Hourly Rate</t>
  </si>
  <si>
    <t xml:space="preserve">Materials ({{CURRENCY}})</t>
  </si>
  <si>
    <t xml:space="preserve">Labor Hours</t>
  </si>
  <si>
    <t xml:space="preserve">Hourly Rate ({{CURRENCY}})</t>
  </si>
  <si>
    <t xml:space="preserve">Labor Cost ({{CURRENCY}})</t>
  </si>
  <si>
    <t xml:space="preserve">Overhead ({{CURRENCY}})</t>
  </si>
  <si>
    <t xml:space="preserve">Total Cost ({{CURRENCY}})</t>
  </si>
  <si>
    <t xml:space="preserve">Cost-Plus Price</t>
  </si>
  <si>
    <t xml:space="preserve">Keystone (2x) Price</t>
  </si>
  <si>
    <t xml:space="preserve">Hourly Rate Price</t>
  </si>
  <si>
    <t xml:space="preserve">Value-Based Price</t>
  </si>
  <si>
    <t xml:space="preserve">Competitor Price</t>
  </si>
  <si>
    <t xml:space="preserve">Recommended Price</t>
  </si>
  <si>
    <t xml:space="preserve">Your Listed Price</t>
  </si>
  <si>
    <t xml:space="preserve">Marketplace Fees</t>
  </si>
  <si>
    <t xml:space="preserve">Net Profit</t>
  </si>
  <si>
    <t xml:space="preserve">Net Margin</t>
  </si>
  <si>
    <t xml:space="preserve">Value-Based</t>
  </si>
  <si>
    <t xml:space="preserve">Competitor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</si>
</sst>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23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52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233"/>
        <bgColor rgb="FF555555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DE7"/>
      <rgbColor rgb="FFFD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88888"/>
      <rgbColor rgb="FF003366"/>
      <rgbColor rgb="FF339966"/>
      <rgbColor rgb="FF003300"/>
      <rgbColor rgb="FF333300"/>
      <rgbColor rgb="FF993300"/>
      <rgbColor rgb="FF993366"/>
      <rgbColor rgb="FF555555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Pricing Method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'Pricing Calculator'!T4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'Pricing Calculator'!$S$5:$S$9</c:f>
              <c:strCache>
                <c:ptCount val="5"/>
                <c:pt idx="0">
                  <c:v>Cost-Plus</c:v>
                </c:pt>
                <c:pt idx="1">
                  <c:v>Keystone (2x)</c:v>
                </c:pt>
                <c:pt idx="2">
                  <c:v>Hourly Rate</c:v>
                </c:pt>
                <c:pt idx="3">
                  <c:v>Value-Based</c:v>
                </c:pt>
                <c:pt idx="4">
                  <c:v>Competitor</c:v>
                </c:pt>
              </c:strCache>
            </c:strRef>
          </c:cat>
          <c:val>
            <c:numRef>
              <c:f>'Pricing Calculator'!$T$5:$T$9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9753519"/>
        <c:axId val="82442671"/>
      </c:barChart>
      <c:catAx>
        <c:axId val="3975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42671"/>
        <c:crosses val="autoZero"/>
        <c:auto val="1"/>
        <c:lblAlgn val="ctr"/>
        <c:lblOffset val="100"/>
        <c:noMultiLvlLbl val="0"/>
      </c:catAx>
      <c:valAx>
        <c:axId val="824426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535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8</xdr:row>
      <xdr:rowOff>54720</xdr:rowOff>
    </xdr:from>
    <xdr:to>
      <xdr:col>23</xdr:col>
      <xdr:colOff>362880</xdr:colOff>
      <xdr:row>23</xdr:row>
      <xdr:rowOff>76680</xdr:rowOff>
    </xdr:to>
    <xdr:graphicFrame>
      <xdr:nvGraphicFramePr>
        <xdr:cNvPr id="0" name="Chart 1"/>
        <xdr:cNvGraphicFramePr/>
      </xdr:nvGraphicFramePr>
      <xdr:xfrm>
        <a:off x="21561480" y="20383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4" customFormat="false" ht="30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30" hidden="false" customHeight="true" outlineLevel="0" collapsed="false">
      <c r="A5" s="2" t="s">
        <v>2</v>
      </c>
      <c r="B5" s="2"/>
      <c r="C5" s="2"/>
      <c r="D5" s="2"/>
      <c r="E5" s="2"/>
      <c r="F5" s="2"/>
      <c r="G5" s="2"/>
      <c r="H5" s="2"/>
    </row>
    <row r="6" customFormat="false" ht="30" hidden="false" customHeight="true" outlineLevel="0" collapsed="false">
      <c r="A6" s="2" t="s">
        <v>3</v>
      </c>
      <c r="B6" s="2"/>
      <c r="C6" s="2"/>
      <c r="D6" s="2"/>
      <c r="E6" s="2"/>
      <c r="F6" s="2"/>
      <c r="G6" s="2"/>
      <c r="H6" s="2"/>
    </row>
    <row r="7" customFormat="false" ht="30" hidden="false" customHeight="true" outlineLevel="0" collapsed="false">
      <c r="A7" s="2" t="s">
        <v>4</v>
      </c>
      <c r="B7" s="2"/>
      <c r="C7" s="2"/>
      <c r="D7" s="2"/>
      <c r="E7" s="2"/>
      <c r="F7" s="2"/>
      <c r="G7" s="2"/>
      <c r="H7" s="2"/>
    </row>
    <row r="8" customFormat="false" ht="30" hidden="false" customHeight="tru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30" hidden="false" customHeight="true" outlineLevel="0" collapsed="false">
      <c r="A9" s="2" t="s">
        <v>6</v>
      </c>
      <c r="B9" s="2"/>
      <c r="C9" s="2"/>
      <c r="D9" s="2"/>
      <c r="E9" s="2"/>
      <c r="F9" s="2"/>
      <c r="G9" s="2"/>
      <c r="H9" s="2"/>
    </row>
    <row r="10" customFormat="false" ht="30" hidden="false" customHeight="true" outlineLevel="0" collapsed="false">
      <c r="A10" s="2" t="s">
        <v>7</v>
      </c>
      <c r="B10" s="2"/>
      <c r="C10" s="2"/>
      <c r="D10" s="2"/>
      <c r="E10" s="2"/>
      <c r="F10" s="2"/>
      <c r="G10" s="2"/>
      <c r="H10" s="2"/>
    </row>
    <row r="12" customFormat="false" ht="15" hidden="false" customHeight="false" outlineLevel="0" collapsed="false">
      <c r="A12" s="3" t="s">
        <v>8</v>
      </c>
      <c r="B12" s="3"/>
      <c r="C12" s="3"/>
      <c r="D12" s="3"/>
      <c r="E12" s="3"/>
      <c r="F12" s="3"/>
      <c r="G12" s="3"/>
      <c r="H12" s="3"/>
    </row>
  </sheetData>
  <mergeCells count="9">
    <mergeCell ref="A1:H1"/>
    <mergeCell ref="A4:H4"/>
    <mergeCell ref="A5:H5"/>
    <mergeCell ref="A6:H6"/>
    <mergeCell ref="A7:H7"/>
    <mergeCell ref="A8:H8"/>
    <mergeCell ref="A9:H9"/>
    <mergeCell ref="A10:H10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10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11</v>
      </c>
      <c r="B3" s="5" t="s">
        <v>12</v>
      </c>
    </row>
    <row r="4" customFormat="false" ht="15" hidden="false" customHeight="false" outlineLevel="0" collapsed="false">
      <c r="A4" s="6" t="s">
        <v>13</v>
      </c>
      <c r="B4" s="7" t="n">
        <v>20</v>
      </c>
    </row>
    <row r="5" customFormat="false" ht="15" hidden="false" customHeight="false" outlineLevel="0" collapsed="false">
      <c r="A5" s="6" t="s">
        <v>14</v>
      </c>
      <c r="B5" s="8" t="n">
        <v>0.15</v>
      </c>
    </row>
    <row r="6" customFormat="false" ht="15" hidden="false" customHeight="false" outlineLevel="0" collapsed="false">
      <c r="A6" s="6" t="s">
        <v>15</v>
      </c>
      <c r="B6" s="8" t="n">
        <v>0.5</v>
      </c>
    </row>
    <row r="7" customFormat="false" ht="15" hidden="false" customHeight="false" outlineLevel="0" collapsed="false">
      <c r="A7" s="6" t="s">
        <v>16</v>
      </c>
      <c r="B7" s="8" t="n">
        <v>0.065</v>
      </c>
    </row>
    <row r="8" customFormat="false" ht="15" hidden="false" customHeight="false" outlineLevel="0" collapsed="false">
      <c r="A8" s="6" t="s">
        <v>17</v>
      </c>
      <c r="B8" s="8" t="n">
        <v>0.03</v>
      </c>
    </row>
    <row r="9" customFormat="false" ht="15" hidden="false" customHeight="false" outlineLevel="0" collapsed="false">
      <c r="A9" s="6" t="s">
        <v>18</v>
      </c>
      <c r="B9" s="7" t="n">
        <v>0.25</v>
      </c>
    </row>
    <row r="10" customFormat="false" ht="15" hidden="false" customHeight="false" outlineLevel="0" collapsed="false">
      <c r="A10" s="6" t="s">
        <v>19</v>
      </c>
      <c r="B10" s="7" t="n">
        <v>0.2</v>
      </c>
    </row>
    <row r="11" customFormat="false" ht="15" hidden="false" customHeight="false" outlineLevel="0" collapsed="false">
      <c r="A11" s="6" t="s">
        <v>20</v>
      </c>
      <c r="B11" s="7" t="n">
        <v>300</v>
      </c>
    </row>
    <row r="13" customFormat="false" ht="30" hidden="false" customHeight="true" outlineLevel="0" collapsed="false">
      <c r="A13" s="9" t="s">
        <v>21</v>
      </c>
      <c r="B13" s="9"/>
      <c r="C13" s="9"/>
    </row>
  </sheetData>
  <mergeCells count="3">
    <mergeCell ref="A1:H1"/>
    <mergeCell ref="A2:H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8" min="4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5" min="14" style="0" width="14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9" min="19" style="0" width="15"/>
    <col collapsed="false" customWidth="true" hidden="false" outlineLevel="0" max="20" min="20" style="0" width="12"/>
  </cols>
  <sheetData>
    <row r="1" customFormat="false" ht="16.15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23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6" t="s">
        <v>24</v>
      </c>
      <c r="S3" s="6" t="s">
        <v>25</v>
      </c>
    </row>
    <row r="4" customFormat="false" ht="15" hidden="false" customHeight="false" outlineLevel="0" collapsed="false">
      <c r="A4" s="10" t="s">
        <v>26</v>
      </c>
      <c r="B4" s="11"/>
      <c r="C4" s="10" t="s">
        <v>27</v>
      </c>
      <c r="D4" s="10" t="s">
        <v>28</v>
      </c>
      <c r="S4" s="12" t="s">
        <v>29</v>
      </c>
      <c r="T4" s="12" t="s">
        <v>30</v>
      </c>
    </row>
    <row r="5" customFormat="false" ht="15" hidden="false" customHeight="false" outlineLevel="0" collapsed="false">
      <c r="C5" s="13" t="str">
        <f aca="false">IFERROR(INDEX($P$9:$P$58,MATCH(B4,$A$9:$A$58,0)),"")</f>
        <v/>
      </c>
      <c r="D5" s="14" t="str">
        <f aca="false">IF(C5="","",IF(C5&lt;=0,"N/A — no profit at this price",ROUNDUP(Setup!$B$11/C5,0)))</f>
        <v/>
      </c>
      <c r="S5" s="10" t="s">
        <v>31</v>
      </c>
      <c r="T5" s="13" t="n">
        <f aca="false">IFERROR(INDEX(H9:H58,MATCH($B$4,$A$9:$A$58,0)),0)</f>
        <v>0</v>
      </c>
    </row>
    <row r="6" customFormat="false" ht="15" hidden="false" customHeight="false" outlineLevel="0" collapsed="false">
      <c r="S6" s="10" t="s">
        <v>32</v>
      </c>
      <c r="T6" s="13" t="n">
        <f aca="false">IFERROR(INDEX(I9:I58,MATCH($B$4,$A$9:$A$58,0)),0)</f>
        <v>0</v>
      </c>
    </row>
    <row r="7" customFormat="false" ht="25.5" hidden="false" customHeight="true" outlineLevel="0" collapsed="false">
      <c r="A7" s="9" t="s">
        <v>33</v>
      </c>
      <c r="B7" s="9"/>
      <c r="C7" s="9"/>
      <c r="D7" s="9"/>
      <c r="S7" s="10" t="s">
        <v>34</v>
      </c>
      <c r="T7" s="13" t="n">
        <f aca="false">IFERROR(INDEX(J9:J58,MATCH($B$4,$A$9:$A$58,0)),0)</f>
        <v>0</v>
      </c>
    </row>
    <row r="8" customFormat="false" ht="39.55" hidden="false" customHeight="false" outlineLevel="0" collapsed="false">
      <c r="A8" s="12" t="s">
        <v>26</v>
      </c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  <c r="G8" s="12" t="s">
        <v>40</v>
      </c>
      <c r="H8" s="12" t="s">
        <v>41</v>
      </c>
      <c r="I8" s="12" t="s">
        <v>42</v>
      </c>
      <c r="J8" s="12" t="s">
        <v>43</v>
      </c>
      <c r="K8" s="12" t="s">
        <v>44</v>
      </c>
      <c r="L8" s="12" t="s">
        <v>45</v>
      </c>
      <c r="M8" s="12" t="s">
        <v>46</v>
      </c>
      <c r="N8" s="12" t="s">
        <v>47</v>
      </c>
      <c r="O8" s="12" t="s">
        <v>48</v>
      </c>
      <c r="P8" s="12" t="s">
        <v>49</v>
      </c>
      <c r="Q8" s="12" t="s">
        <v>50</v>
      </c>
      <c r="S8" s="10" t="s">
        <v>51</v>
      </c>
      <c r="T8" s="13" t="n">
        <f aca="false">IFERROR(INDEX(K9:K58,MATCH($B$4,$A$9:$A$58,0)),0)</f>
        <v>0</v>
      </c>
    </row>
    <row r="9" customFormat="false" ht="15" hidden="false" customHeight="false" outlineLevel="0" collapsed="false">
      <c r="A9" s="15"/>
      <c r="B9" s="16"/>
      <c r="C9" s="15"/>
      <c r="D9" s="16" t="str">
        <f aca="false">IF(A9="","",Setup!$B$4)</f>
        <v/>
      </c>
      <c r="E9" s="16" t="str">
        <f aca="false">IF(A9="","",C9*D9)</f>
        <v/>
      </c>
      <c r="F9" s="16" t="str">
        <f aca="false">IF(A9="","",(B9+E9)*Setup!$B$5)</f>
        <v/>
      </c>
      <c r="G9" s="16" t="str">
        <f aca="false">IF(A9="","",B9+E9+F9)</f>
        <v/>
      </c>
      <c r="H9" s="16" t="str">
        <f aca="false">IF(A9="","",G9*(1+Setup!$B$6))</f>
        <v/>
      </c>
      <c r="I9" s="16" t="str">
        <f aca="false">IF(A9="","",G9*2)</f>
        <v/>
      </c>
      <c r="J9" s="16" t="str">
        <f aca="false">IF(A9="","",E9+B9)</f>
        <v/>
      </c>
      <c r="K9" s="16"/>
      <c r="L9" s="16"/>
      <c r="M9" s="16" t="str">
        <f aca="false">IF(A9="","",AVERAGE(H9:J9))</f>
        <v/>
      </c>
      <c r="N9" s="16" t="str">
        <f aca="false">IF(A9="","",M9)</f>
        <v/>
      </c>
      <c r="O9" s="16" t="str">
        <f aca="false">IF(A9="","",Setup!$B$10+N9*Setup!$B$7+N9*Setup!$B$8+Setup!$B$9)</f>
        <v/>
      </c>
      <c r="P9" s="16" t="str">
        <f aca="false">IF(A9="","",N9-G9-O9)</f>
        <v/>
      </c>
      <c r="Q9" s="17" t="str">
        <f aca="false">IF(A9="","",IFERROR(P9/N9,0))</f>
        <v/>
      </c>
      <c r="S9" s="10" t="s">
        <v>52</v>
      </c>
      <c r="T9" s="13" t="n">
        <f aca="false">IFERROR(INDEX(L9:L58,MATCH($B$4,$A$9:$A$58,0)),0)</f>
        <v>0</v>
      </c>
    </row>
    <row r="10" customFormat="false" ht="15" hidden="false" customHeight="false" outlineLevel="0" collapsed="false">
      <c r="A10" s="15"/>
      <c r="B10" s="16"/>
      <c r="C10" s="15"/>
      <c r="D10" s="16" t="str">
        <f aca="false">IF(A10="","",Setup!$B$4)</f>
        <v/>
      </c>
      <c r="E10" s="16" t="str">
        <f aca="false">IF(A10="","",C10*D10)</f>
        <v/>
      </c>
      <c r="F10" s="16" t="str">
        <f aca="false">IF(A10="","",(B10+E10)*Setup!$B$5)</f>
        <v/>
      </c>
      <c r="G10" s="16" t="str">
        <f aca="false">IF(A10="","",B10+E10+F10)</f>
        <v/>
      </c>
      <c r="H10" s="16" t="str">
        <f aca="false">IF(A10="","",G10*(1+Setup!$B$6))</f>
        <v/>
      </c>
      <c r="I10" s="16" t="str">
        <f aca="false">IF(A10="","",G10*2)</f>
        <v/>
      </c>
      <c r="J10" s="16" t="str">
        <f aca="false">IF(A10="","",E10+B10)</f>
        <v/>
      </c>
      <c r="K10" s="16"/>
      <c r="L10" s="16"/>
      <c r="M10" s="16" t="str">
        <f aca="false">IF(A10="","",AVERAGE(H10:J10))</f>
        <v/>
      </c>
      <c r="N10" s="16" t="str">
        <f aca="false">IF(A10="","",M10)</f>
        <v/>
      </c>
      <c r="O10" s="16" t="str">
        <f aca="false">IF(A10="","",Setup!$B$10+N10*Setup!$B$7+N10*Setup!$B$8+Setup!$B$9)</f>
        <v/>
      </c>
      <c r="P10" s="16" t="str">
        <f aca="false">IF(A10="","",N10-G10-O10)</f>
        <v/>
      </c>
      <c r="Q10" s="17" t="str">
        <f aca="false">IF(A10="","",IFERROR(P10/N10,0))</f>
        <v/>
      </c>
    </row>
    <row r="11" customFormat="false" ht="15" hidden="false" customHeight="false" outlineLevel="0" collapsed="false">
      <c r="A11" s="15"/>
      <c r="B11" s="16"/>
      <c r="C11" s="15"/>
      <c r="D11" s="16" t="str">
        <f aca="false">IF(A11="","",Setup!$B$4)</f>
        <v/>
      </c>
      <c r="E11" s="16" t="str">
        <f aca="false">IF(A11="","",C11*D11)</f>
        <v/>
      </c>
      <c r="F11" s="16" t="str">
        <f aca="false">IF(A11="","",(B11+E11)*Setup!$B$5)</f>
        <v/>
      </c>
      <c r="G11" s="16" t="str">
        <f aca="false">IF(A11="","",B11+E11+F11)</f>
        <v/>
      </c>
      <c r="H11" s="16" t="str">
        <f aca="false">IF(A11="","",G11*(1+Setup!$B$6))</f>
        <v/>
      </c>
      <c r="I11" s="16" t="str">
        <f aca="false">IF(A11="","",G11*2)</f>
        <v/>
      </c>
      <c r="J11" s="16" t="str">
        <f aca="false">IF(A11="","",E11+B11)</f>
        <v/>
      </c>
      <c r="K11" s="16"/>
      <c r="L11" s="16"/>
      <c r="M11" s="16" t="str">
        <f aca="false">IF(A11="","",AVERAGE(H11:J11))</f>
        <v/>
      </c>
      <c r="N11" s="16" t="str">
        <f aca="false">IF(A11="","",M11)</f>
        <v/>
      </c>
      <c r="O11" s="16" t="str">
        <f aca="false">IF(A11="","",Setup!$B$10+N11*Setup!$B$7+N11*Setup!$B$8+Setup!$B$9)</f>
        <v/>
      </c>
      <c r="P11" s="16" t="str">
        <f aca="false">IF(A11="","",N11-G11-O11)</f>
        <v/>
      </c>
      <c r="Q11" s="17" t="str">
        <f aca="false">IF(A11="","",IFERROR(P11/N11,0))</f>
        <v/>
      </c>
    </row>
    <row r="12" customFormat="false" ht="15" hidden="false" customHeight="false" outlineLevel="0" collapsed="false">
      <c r="A12" s="15"/>
      <c r="B12" s="16"/>
      <c r="C12" s="15"/>
      <c r="D12" s="16" t="str">
        <f aca="false">IF(A12="","",Setup!$B$4)</f>
        <v/>
      </c>
      <c r="E12" s="16" t="str">
        <f aca="false">IF(A12="","",C12*D12)</f>
        <v/>
      </c>
      <c r="F12" s="16" t="str">
        <f aca="false">IF(A12="","",(B12+E12)*Setup!$B$5)</f>
        <v/>
      </c>
      <c r="G12" s="16" t="str">
        <f aca="false">IF(A12="","",B12+E12+F12)</f>
        <v/>
      </c>
      <c r="H12" s="16" t="str">
        <f aca="false">IF(A12="","",G12*(1+Setup!$B$6))</f>
        <v/>
      </c>
      <c r="I12" s="16" t="str">
        <f aca="false">IF(A12="","",G12*2)</f>
        <v/>
      </c>
      <c r="J12" s="16" t="str">
        <f aca="false">IF(A12="","",E12+B12)</f>
        <v/>
      </c>
      <c r="K12" s="16"/>
      <c r="L12" s="16"/>
      <c r="M12" s="16" t="str">
        <f aca="false">IF(A12="","",AVERAGE(H12:J12))</f>
        <v/>
      </c>
      <c r="N12" s="16" t="str">
        <f aca="false">IF(A12="","",M12)</f>
        <v/>
      </c>
      <c r="O12" s="16" t="str">
        <f aca="false">IF(A12="","",Setup!$B$10+N12*Setup!$B$7+N12*Setup!$B$8+Setup!$B$9)</f>
        <v/>
      </c>
      <c r="P12" s="16" t="str">
        <f aca="false">IF(A12="","",N12-G12-O12)</f>
        <v/>
      </c>
      <c r="Q12" s="17" t="str">
        <f aca="false">IF(A12="","",IFERROR(P12/N12,0))</f>
        <v/>
      </c>
    </row>
    <row r="13" customFormat="false" ht="15" hidden="false" customHeight="false" outlineLevel="0" collapsed="false">
      <c r="A13" s="15"/>
      <c r="B13" s="16"/>
      <c r="C13" s="15"/>
      <c r="D13" s="16" t="str">
        <f aca="false">IF(A13="","",Setup!$B$4)</f>
        <v/>
      </c>
      <c r="E13" s="16" t="str">
        <f aca="false">IF(A13="","",C13*D13)</f>
        <v/>
      </c>
      <c r="F13" s="16" t="str">
        <f aca="false">IF(A13="","",(B13+E13)*Setup!$B$5)</f>
        <v/>
      </c>
      <c r="G13" s="16" t="str">
        <f aca="false">IF(A13="","",B13+E13+F13)</f>
        <v/>
      </c>
      <c r="H13" s="16" t="str">
        <f aca="false">IF(A13="","",G13*(1+Setup!$B$6))</f>
        <v/>
      </c>
      <c r="I13" s="16" t="str">
        <f aca="false">IF(A13="","",G13*2)</f>
        <v/>
      </c>
      <c r="J13" s="16" t="str">
        <f aca="false">IF(A13="","",E13+B13)</f>
        <v/>
      </c>
      <c r="K13" s="16"/>
      <c r="L13" s="16"/>
      <c r="M13" s="16" t="str">
        <f aca="false">IF(A13="","",AVERAGE(H13:J13))</f>
        <v/>
      </c>
      <c r="N13" s="16" t="str">
        <f aca="false">IF(A13="","",M13)</f>
        <v/>
      </c>
      <c r="O13" s="16" t="str">
        <f aca="false">IF(A13="","",Setup!$B$10+N13*Setup!$B$7+N13*Setup!$B$8+Setup!$B$9)</f>
        <v/>
      </c>
      <c r="P13" s="16" t="str">
        <f aca="false">IF(A13="","",N13-G13-O13)</f>
        <v/>
      </c>
      <c r="Q13" s="17" t="str">
        <f aca="false">IF(A13="","",IFERROR(P13/N13,0))</f>
        <v/>
      </c>
    </row>
    <row r="14" customFormat="false" ht="15" hidden="false" customHeight="false" outlineLevel="0" collapsed="false">
      <c r="A14" s="15"/>
      <c r="B14" s="16"/>
      <c r="C14" s="15"/>
      <c r="D14" s="16" t="str">
        <f aca="false">IF(A14="","",Setup!$B$4)</f>
        <v/>
      </c>
      <c r="E14" s="16" t="str">
        <f aca="false">IF(A14="","",C14*D14)</f>
        <v/>
      </c>
      <c r="F14" s="16" t="str">
        <f aca="false">IF(A14="","",(B14+E14)*Setup!$B$5)</f>
        <v/>
      </c>
      <c r="G14" s="16" t="str">
        <f aca="false">IF(A14="","",B14+E14+F14)</f>
        <v/>
      </c>
      <c r="H14" s="16" t="str">
        <f aca="false">IF(A14="","",G14*(1+Setup!$B$6))</f>
        <v/>
      </c>
      <c r="I14" s="16" t="str">
        <f aca="false">IF(A14="","",G14*2)</f>
        <v/>
      </c>
      <c r="J14" s="16" t="str">
        <f aca="false">IF(A14="","",E14+B14)</f>
        <v/>
      </c>
      <c r="K14" s="16"/>
      <c r="L14" s="16"/>
      <c r="M14" s="16" t="str">
        <f aca="false">IF(A14="","",AVERAGE(H14:J14))</f>
        <v/>
      </c>
      <c r="N14" s="16" t="str">
        <f aca="false">IF(A14="","",M14)</f>
        <v/>
      </c>
      <c r="O14" s="16" t="str">
        <f aca="false">IF(A14="","",Setup!$B$10+N14*Setup!$B$7+N14*Setup!$B$8+Setup!$B$9)</f>
        <v/>
      </c>
      <c r="P14" s="16" t="str">
        <f aca="false">IF(A14="","",N14-G14-O14)</f>
        <v/>
      </c>
      <c r="Q14" s="17" t="str">
        <f aca="false">IF(A14="","",IFERROR(P14/N14,0))</f>
        <v/>
      </c>
    </row>
    <row r="15" customFormat="false" ht="15" hidden="false" customHeight="false" outlineLevel="0" collapsed="false">
      <c r="A15" s="15"/>
      <c r="B15" s="16"/>
      <c r="C15" s="15"/>
      <c r="D15" s="16" t="str">
        <f aca="false">IF(A15="","",Setup!$B$4)</f>
        <v/>
      </c>
      <c r="E15" s="16" t="str">
        <f aca="false">IF(A15="","",C15*D15)</f>
        <v/>
      </c>
      <c r="F15" s="16" t="str">
        <f aca="false">IF(A15="","",(B15+E15)*Setup!$B$5)</f>
        <v/>
      </c>
      <c r="G15" s="16" t="str">
        <f aca="false">IF(A15="","",B15+E15+F15)</f>
        <v/>
      </c>
      <c r="H15" s="16" t="str">
        <f aca="false">IF(A15="","",G15*(1+Setup!$B$6))</f>
        <v/>
      </c>
      <c r="I15" s="16" t="str">
        <f aca="false">IF(A15="","",G15*2)</f>
        <v/>
      </c>
      <c r="J15" s="16" t="str">
        <f aca="false">IF(A15="","",E15+B15)</f>
        <v/>
      </c>
      <c r="K15" s="16"/>
      <c r="L15" s="16"/>
      <c r="M15" s="16" t="str">
        <f aca="false">IF(A15="","",AVERAGE(H15:J15))</f>
        <v/>
      </c>
      <c r="N15" s="16" t="str">
        <f aca="false">IF(A15="","",M15)</f>
        <v/>
      </c>
      <c r="O15" s="16" t="str">
        <f aca="false">IF(A15="","",Setup!$B$10+N15*Setup!$B$7+N15*Setup!$B$8+Setup!$B$9)</f>
        <v/>
      </c>
      <c r="P15" s="16" t="str">
        <f aca="false">IF(A15="","",N15-G15-O15)</f>
        <v/>
      </c>
      <c r="Q15" s="17" t="str">
        <f aca="false">IF(A15="","",IFERROR(P15/N15,0))</f>
        <v/>
      </c>
    </row>
    <row r="16" customFormat="false" ht="15" hidden="false" customHeight="false" outlineLevel="0" collapsed="false">
      <c r="A16" s="15"/>
      <c r="B16" s="16"/>
      <c r="C16" s="15"/>
      <c r="D16" s="16" t="str">
        <f aca="false">IF(A16="","",Setup!$B$4)</f>
        <v/>
      </c>
      <c r="E16" s="16" t="str">
        <f aca="false">IF(A16="","",C16*D16)</f>
        <v/>
      </c>
      <c r="F16" s="16" t="str">
        <f aca="false">IF(A16="","",(B16+E16)*Setup!$B$5)</f>
        <v/>
      </c>
      <c r="G16" s="16" t="str">
        <f aca="false">IF(A16="","",B16+E16+F16)</f>
        <v/>
      </c>
      <c r="H16" s="16" t="str">
        <f aca="false">IF(A16="","",G16*(1+Setup!$B$6))</f>
        <v/>
      </c>
      <c r="I16" s="16" t="str">
        <f aca="false">IF(A16="","",G16*2)</f>
        <v/>
      </c>
      <c r="J16" s="16" t="str">
        <f aca="false">IF(A16="","",E16+B16)</f>
        <v/>
      </c>
      <c r="K16" s="16"/>
      <c r="L16" s="16"/>
      <c r="M16" s="16" t="str">
        <f aca="false">IF(A16="","",AVERAGE(H16:J16))</f>
        <v/>
      </c>
      <c r="N16" s="16" t="str">
        <f aca="false">IF(A16="","",M16)</f>
        <v/>
      </c>
      <c r="O16" s="16" t="str">
        <f aca="false">IF(A16="","",Setup!$B$10+N16*Setup!$B$7+N16*Setup!$B$8+Setup!$B$9)</f>
        <v/>
      </c>
      <c r="P16" s="16" t="str">
        <f aca="false">IF(A16="","",N16-G16-O16)</f>
        <v/>
      </c>
      <c r="Q16" s="17" t="str">
        <f aca="false">IF(A16="","",IFERROR(P16/N16,0))</f>
        <v/>
      </c>
    </row>
    <row r="17" customFormat="false" ht="15" hidden="false" customHeight="false" outlineLevel="0" collapsed="false">
      <c r="A17" s="15"/>
      <c r="B17" s="16"/>
      <c r="C17" s="15"/>
      <c r="D17" s="16" t="str">
        <f aca="false">IF(A17="","",Setup!$B$4)</f>
        <v/>
      </c>
      <c r="E17" s="16" t="str">
        <f aca="false">IF(A17="","",C17*D17)</f>
        <v/>
      </c>
      <c r="F17" s="16" t="str">
        <f aca="false">IF(A17="","",(B17+E17)*Setup!$B$5)</f>
        <v/>
      </c>
      <c r="G17" s="16" t="str">
        <f aca="false">IF(A17="","",B17+E17+F17)</f>
        <v/>
      </c>
      <c r="H17" s="16" t="str">
        <f aca="false">IF(A17="","",G17*(1+Setup!$B$6))</f>
        <v/>
      </c>
      <c r="I17" s="16" t="str">
        <f aca="false">IF(A17="","",G17*2)</f>
        <v/>
      </c>
      <c r="J17" s="16" t="str">
        <f aca="false">IF(A17="","",E17+B17)</f>
        <v/>
      </c>
      <c r="K17" s="16"/>
      <c r="L17" s="16"/>
      <c r="M17" s="16" t="str">
        <f aca="false">IF(A17="","",AVERAGE(H17:J17))</f>
        <v/>
      </c>
      <c r="N17" s="16" t="str">
        <f aca="false">IF(A17="","",M17)</f>
        <v/>
      </c>
      <c r="O17" s="16" t="str">
        <f aca="false">IF(A17="","",Setup!$B$10+N17*Setup!$B$7+N17*Setup!$B$8+Setup!$B$9)</f>
        <v/>
      </c>
      <c r="P17" s="16" t="str">
        <f aca="false">IF(A17="","",N17-G17-O17)</f>
        <v/>
      </c>
      <c r="Q17" s="17" t="str">
        <f aca="false">IF(A17="","",IFERROR(P17/N17,0))</f>
        <v/>
      </c>
    </row>
    <row r="18" customFormat="false" ht="15" hidden="false" customHeight="false" outlineLevel="0" collapsed="false">
      <c r="A18" s="15"/>
      <c r="B18" s="16"/>
      <c r="C18" s="15"/>
      <c r="D18" s="16" t="str">
        <f aca="false">IF(A18="","",Setup!$B$4)</f>
        <v/>
      </c>
      <c r="E18" s="16" t="str">
        <f aca="false">IF(A18="","",C18*D18)</f>
        <v/>
      </c>
      <c r="F18" s="16" t="str">
        <f aca="false">IF(A18="","",(B18+E18)*Setup!$B$5)</f>
        <v/>
      </c>
      <c r="G18" s="16" t="str">
        <f aca="false">IF(A18="","",B18+E18+F18)</f>
        <v/>
      </c>
      <c r="H18" s="16" t="str">
        <f aca="false">IF(A18="","",G18*(1+Setup!$B$6))</f>
        <v/>
      </c>
      <c r="I18" s="16" t="str">
        <f aca="false">IF(A18="","",G18*2)</f>
        <v/>
      </c>
      <c r="J18" s="16" t="str">
        <f aca="false">IF(A18="","",E18+B18)</f>
        <v/>
      </c>
      <c r="K18" s="16"/>
      <c r="L18" s="16"/>
      <c r="M18" s="16" t="str">
        <f aca="false">IF(A18="","",AVERAGE(H18:J18))</f>
        <v/>
      </c>
      <c r="N18" s="16" t="str">
        <f aca="false">IF(A18="","",M18)</f>
        <v/>
      </c>
      <c r="O18" s="16" t="str">
        <f aca="false">IF(A18="","",Setup!$B$10+N18*Setup!$B$7+N18*Setup!$B$8+Setup!$B$9)</f>
        <v/>
      </c>
      <c r="P18" s="16" t="str">
        <f aca="false">IF(A18="","",N18-G18-O18)</f>
        <v/>
      </c>
      <c r="Q18" s="17" t="str">
        <f aca="false">IF(A18="","",IFERROR(P18/N18,0))</f>
        <v/>
      </c>
    </row>
    <row r="19" customFormat="false" ht="15" hidden="false" customHeight="false" outlineLevel="0" collapsed="false">
      <c r="A19" s="15"/>
      <c r="B19" s="16"/>
      <c r="C19" s="15"/>
      <c r="D19" s="16" t="str">
        <f aca="false">IF(A19="","",Setup!$B$4)</f>
        <v/>
      </c>
      <c r="E19" s="16" t="str">
        <f aca="false">IF(A19="","",C19*D19)</f>
        <v/>
      </c>
      <c r="F19" s="16" t="str">
        <f aca="false">IF(A19="","",(B19+E19)*Setup!$B$5)</f>
        <v/>
      </c>
      <c r="G19" s="16" t="str">
        <f aca="false">IF(A19="","",B19+E19+F19)</f>
        <v/>
      </c>
      <c r="H19" s="16" t="str">
        <f aca="false">IF(A19="","",G19*(1+Setup!$B$6))</f>
        <v/>
      </c>
      <c r="I19" s="16" t="str">
        <f aca="false">IF(A19="","",G19*2)</f>
        <v/>
      </c>
      <c r="J19" s="16" t="str">
        <f aca="false">IF(A19="","",E19+B19)</f>
        <v/>
      </c>
      <c r="K19" s="16"/>
      <c r="L19" s="16"/>
      <c r="M19" s="16" t="str">
        <f aca="false">IF(A19="","",AVERAGE(H19:J19))</f>
        <v/>
      </c>
      <c r="N19" s="16" t="str">
        <f aca="false">IF(A19="","",M19)</f>
        <v/>
      </c>
      <c r="O19" s="16" t="str">
        <f aca="false">IF(A19="","",Setup!$B$10+N19*Setup!$B$7+N19*Setup!$B$8+Setup!$B$9)</f>
        <v/>
      </c>
      <c r="P19" s="16" t="str">
        <f aca="false">IF(A19="","",N19-G19-O19)</f>
        <v/>
      </c>
      <c r="Q19" s="17" t="str">
        <f aca="false">IF(A19="","",IFERROR(P19/N19,0))</f>
        <v/>
      </c>
    </row>
    <row r="20" customFormat="false" ht="15" hidden="false" customHeight="false" outlineLevel="0" collapsed="false">
      <c r="A20" s="15"/>
      <c r="B20" s="16"/>
      <c r="C20" s="15"/>
      <c r="D20" s="16" t="str">
        <f aca="false">IF(A20="","",Setup!$B$4)</f>
        <v/>
      </c>
      <c r="E20" s="16" t="str">
        <f aca="false">IF(A20="","",C20*D20)</f>
        <v/>
      </c>
      <c r="F20" s="16" t="str">
        <f aca="false">IF(A20="","",(B20+E20)*Setup!$B$5)</f>
        <v/>
      </c>
      <c r="G20" s="16" t="str">
        <f aca="false">IF(A20="","",B20+E20+F20)</f>
        <v/>
      </c>
      <c r="H20" s="16" t="str">
        <f aca="false">IF(A20="","",G20*(1+Setup!$B$6))</f>
        <v/>
      </c>
      <c r="I20" s="16" t="str">
        <f aca="false">IF(A20="","",G20*2)</f>
        <v/>
      </c>
      <c r="J20" s="16" t="str">
        <f aca="false">IF(A20="","",E20+B20)</f>
        <v/>
      </c>
      <c r="K20" s="16"/>
      <c r="L20" s="16"/>
      <c r="M20" s="16" t="str">
        <f aca="false">IF(A20="","",AVERAGE(H20:J20))</f>
        <v/>
      </c>
      <c r="N20" s="16" t="str">
        <f aca="false">IF(A20="","",M20)</f>
        <v/>
      </c>
      <c r="O20" s="16" t="str">
        <f aca="false">IF(A20="","",Setup!$B$10+N20*Setup!$B$7+N20*Setup!$B$8+Setup!$B$9)</f>
        <v/>
      </c>
      <c r="P20" s="16" t="str">
        <f aca="false">IF(A20="","",N20-G20-O20)</f>
        <v/>
      </c>
      <c r="Q20" s="17" t="str">
        <f aca="false">IF(A20="","",IFERROR(P20/N20,0))</f>
        <v/>
      </c>
    </row>
    <row r="21" customFormat="false" ht="15" hidden="false" customHeight="false" outlineLevel="0" collapsed="false">
      <c r="A21" s="15"/>
      <c r="B21" s="16"/>
      <c r="C21" s="15"/>
      <c r="D21" s="16" t="str">
        <f aca="false">IF(A21="","",Setup!$B$4)</f>
        <v/>
      </c>
      <c r="E21" s="16" t="str">
        <f aca="false">IF(A21="","",C21*D21)</f>
        <v/>
      </c>
      <c r="F21" s="16" t="str">
        <f aca="false">IF(A21="","",(B21+E21)*Setup!$B$5)</f>
        <v/>
      </c>
      <c r="G21" s="16" t="str">
        <f aca="false">IF(A21="","",B21+E21+F21)</f>
        <v/>
      </c>
      <c r="H21" s="16" t="str">
        <f aca="false">IF(A21="","",G21*(1+Setup!$B$6))</f>
        <v/>
      </c>
      <c r="I21" s="16" t="str">
        <f aca="false">IF(A21="","",G21*2)</f>
        <v/>
      </c>
      <c r="J21" s="16" t="str">
        <f aca="false">IF(A21="","",E21+B21)</f>
        <v/>
      </c>
      <c r="K21" s="16"/>
      <c r="L21" s="16"/>
      <c r="M21" s="16" t="str">
        <f aca="false">IF(A21="","",AVERAGE(H21:J21))</f>
        <v/>
      </c>
      <c r="N21" s="16" t="str">
        <f aca="false">IF(A21="","",M21)</f>
        <v/>
      </c>
      <c r="O21" s="16" t="str">
        <f aca="false">IF(A21="","",Setup!$B$10+N21*Setup!$B$7+N21*Setup!$B$8+Setup!$B$9)</f>
        <v/>
      </c>
      <c r="P21" s="16" t="str">
        <f aca="false">IF(A21="","",N21-G21-O21)</f>
        <v/>
      </c>
      <c r="Q21" s="17" t="str">
        <f aca="false">IF(A21="","",IFERROR(P21/N21,0))</f>
        <v/>
      </c>
    </row>
    <row r="22" customFormat="false" ht="15" hidden="false" customHeight="false" outlineLevel="0" collapsed="false">
      <c r="A22" s="15"/>
      <c r="B22" s="16"/>
      <c r="C22" s="15"/>
      <c r="D22" s="16" t="str">
        <f aca="false">IF(A22="","",Setup!$B$4)</f>
        <v/>
      </c>
      <c r="E22" s="16" t="str">
        <f aca="false">IF(A22="","",C22*D22)</f>
        <v/>
      </c>
      <c r="F22" s="16" t="str">
        <f aca="false">IF(A22="","",(B22+E22)*Setup!$B$5)</f>
        <v/>
      </c>
      <c r="G22" s="16" t="str">
        <f aca="false">IF(A22="","",B22+E22+F22)</f>
        <v/>
      </c>
      <c r="H22" s="16" t="str">
        <f aca="false">IF(A22="","",G22*(1+Setup!$B$6))</f>
        <v/>
      </c>
      <c r="I22" s="16" t="str">
        <f aca="false">IF(A22="","",G22*2)</f>
        <v/>
      </c>
      <c r="J22" s="16" t="str">
        <f aca="false">IF(A22="","",E22+B22)</f>
        <v/>
      </c>
      <c r="K22" s="16"/>
      <c r="L22" s="16"/>
      <c r="M22" s="16" t="str">
        <f aca="false">IF(A22="","",AVERAGE(H22:J22))</f>
        <v/>
      </c>
      <c r="N22" s="16" t="str">
        <f aca="false">IF(A22="","",M22)</f>
        <v/>
      </c>
      <c r="O22" s="16" t="str">
        <f aca="false">IF(A22="","",Setup!$B$10+N22*Setup!$B$7+N22*Setup!$B$8+Setup!$B$9)</f>
        <v/>
      </c>
      <c r="P22" s="16" t="str">
        <f aca="false">IF(A22="","",N22-G22-O22)</f>
        <v/>
      </c>
      <c r="Q22" s="17" t="str">
        <f aca="false">IF(A22="","",IFERROR(P22/N22,0))</f>
        <v/>
      </c>
    </row>
    <row r="23" customFormat="false" ht="15" hidden="false" customHeight="false" outlineLevel="0" collapsed="false">
      <c r="A23" s="15"/>
      <c r="B23" s="16"/>
      <c r="C23" s="15"/>
      <c r="D23" s="16" t="str">
        <f aca="false">IF(A23="","",Setup!$B$4)</f>
        <v/>
      </c>
      <c r="E23" s="16" t="str">
        <f aca="false">IF(A23="","",C23*D23)</f>
        <v/>
      </c>
      <c r="F23" s="16" t="str">
        <f aca="false">IF(A23="","",(B23+E23)*Setup!$B$5)</f>
        <v/>
      </c>
      <c r="G23" s="16" t="str">
        <f aca="false">IF(A23="","",B23+E23+F23)</f>
        <v/>
      </c>
      <c r="H23" s="16" t="str">
        <f aca="false">IF(A23="","",G23*(1+Setup!$B$6))</f>
        <v/>
      </c>
      <c r="I23" s="16" t="str">
        <f aca="false">IF(A23="","",G23*2)</f>
        <v/>
      </c>
      <c r="J23" s="16" t="str">
        <f aca="false">IF(A23="","",E23+B23)</f>
        <v/>
      </c>
      <c r="K23" s="16"/>
      <c r="L23" s="16"/>
      <c r="M23" s="16" t="str">
        <f aca="false">IF(A23="","",AVERAGE(H23:J23))</f>
        <v/>
      </c>
      <c r="N23" s="16" t="str">
        <f aca="false">IF(A23="","",M23)</f>
        <v/>
      </c>
      <c r="O23" s="16" t="str">
        <f aca="false">IF(A23="","",Setup!$B$10+N23*Setup!$B$7+N23*Setup!$B$8+Setup!$B$9)</f>
        <v/>
      </c>
      <c r="P23" s="16" t="str">
        <f aca="false">IF(A23="","",N23-G23-O23)</f>
        <v/>
      </c>
      <c r="Q23" s="17" t="str">
        <f aca="false">IF(A23="","",IFERROR(P23/N23,0))</f>
        <v/>
      </c>
    </row>
    <row r="24" customFormat="false" ht="15" hidden="false" customHeight="false" outlineLevel="0" collapsed="false">
      <c r="A24" s="15"/>
      <c r="B24" s="16"/>
      <c r="C24" s="15"/>
      <c r="D24" s="16" t="str">
        <f aca="false">IF(A24="","",Setup!$B$4)</f>
        <v/>
      </c>
      <c r="E24" s="16" t="str">
        <f aca="false">IF(A24="","",C24*D24)</f>
        <v/>
      </c>
      <c r="F24" s="16" t="str">
        <f aca="false">IF(A24="","",(B24+E24)*Setup!$B$5)</f>
        <v/>
      </c>
      <c r="G24" s="16" t="str">
        <f aca="false">IF(A24="","",B24+E24+F24)</f>
        <v/>
      </c>
      <c r="H24" s="16" t="str">
        <f aca="false">IF(A24="","",G24*(1+Setup!$B$6))</f>
        <v/>
      </c>
      <c r="I24" s="16" t="str">
        <f aca="false">IF(A24="","",G24*2)</f>
        <v/>
      </c>
      <c r="J24" s="16" t="str">
        <f aca="false">IF(A24="","",E24+B24)</f>
        <v/>
      </c>
      <c r="K24" s="16"/>
      <c r="L24" s="16"/>
      <c r="M24" s="16" t="str">
        <f aca="false">IF(A24="","",AVERAGE(H24:J24))</f>
        <v/>
      </c>
      <c r="N24" s="16" t="str">
        <f aca="false">IF(A24="","",M24)</f>
        <v/>
      </c>
      <c r="O24" s="16" t="str">
        <f aca="false">IF(A24="","",Setup!$B$10+N24*Setup!$B$7+N24*Setup!$B$8+Setup!$B$9)</f>
        <v/>
      </c>
      <c r="P24" s="16" t="str">
        <f aca="false">IF(A24="","",N24-G24-O24)</f>
        <v/>
      </c>
      <c r="Q24" s="17" t="str">
        <f aca="false">IF(A24="","",IFERROR(P24/N24,0))</f>
        <v/>
      </c>
    </row>
    <row r="25" customFormat="false" ht="15" hidden="false" customHeight="false" outlineLevel="0" collapsed="false">
      <c r="A25" s="15"/>
      <c r="B25" s="16"/>
      <c r="C25" s="15"/>
      <c r="D25" s="16" t="str">
        <f aca="false">IF(A25="","",Setup!$B$4)</f>
        <v/>
      </c>
      <c r="E25" s="16" t="str">
        <f aca="false">IF(A25="","",C25*D25)</f>
        <v/>
      </c>
      <c r="F25" s="16" t="str">
        <f aca="false">IF(A25="","",(B25+E25)*Setup!$B$5)</f>
        <v/>
      </c>
      <c r="G25" s="16" t="str">
        <f aca="false">IF(A25="","",B25+E25+F25)</f>
        <v/>
      </c>
      <c r="H25" s="16" t="str">
        <f aca="false">IF(A25="","",G25*(1+Setup!$B$6))</f>
        <v/>
      </c>
      <c r="I25" s="16" t="str">
        <f aca="false">IF(A25="","",G25*2)</f>
        <v/>
      </c>
      <c r="J25" s="16" t="str">
        <f aca="false">IF(A25="","",E25+B25)</f>
        <v/>
      </c>
      <c r="K25" s="16"/>
      <c r="L25" s="16"/>
      <c r="M25" s="16" t="str">
        <f aca="false">IF(A25="","",AVERAGE(H25:J25))</f>
        <v/>
      </c>
      <c r="N25" s="16" t="str">
        <f aca="false">IF(A25="","",M25)</f>
        <v/>
      </c>
      <c r="O25" s="16" t="str">
        <f aca="false">IF(A25="","",Setup!$B$10+N25*Setup!$B$7+N25*Setup!$B$8+Setup!$B$9)</f>
        <v/>
      </c>
      <c r="P25" s="16" t="str">
        <f aca="false">IF(A25="","",N25-G25-O25)</f>
        <v/>
      </c>
      <c r="Q25" s="17" t="str">
        <f aca="false">IF(A25="","",IFERROR(P25/N25,0))</f>
        <v/>
      </c>
    </row>
    <row r="26" customFormat="false" ht="15" hidden="false" customHeight="false" outlineLevel="0" collapsed="false">
      <c r="A26" s="15"/>
      <c r="B26" s="16"/>
      <c r="C26" s="15"/>
      <c r="D26" s="16" t="str">
        <f aca="false">IF(A26="","",Setup!$B$4)</f>
        <v/>
      </c>
      <c r="E26" s="16" t="str">
        <f aca="false">IF(A26="","",C26*D26)</f>
        <v/>
      </c>
      <c r="F26" s="16" t="str">
        <f aca="false">IF(A26="","",(B26+E26)*Setup!$B$5)</f>
        <v/>
      </c>
      <c r="G26" s="16" t="str">
        <f aca="false">IF(A26="","",B26+E26+F26)</f>
        <v/>
      </c>
      <c r="H26" s="16" t="str">
        <f aca="false">IF(A26="","",G26*(1+Setup!$B$6))</f>
        <v/>
      </c>
      <c r="I26" s="16" t="str">
        <f aca="false">IF(A26="","",G26*2)</f>
        <v/>
      </c>
      <c r="J26" s="16" t="str">
        <f aca="false">IF(A26="","",E26+B26)</f>
        <v/>
      </c>
      <c r="K26" s="16"/>
      <c r="L26" s="16"/>
      <c r="M26" s="16" t="str">
        <f aca="false">IF(A26="","",AVERAGE(H26:J26))</f>
        <v/>
      </c>
      <c r="N26" s="16" t="str">
        <f aca="false">IF(A26="","",M26)</f>
        <v/>
      </c>
      <c r="O26" s="16" t="str">
        <f aca="false">IF(A26="","",Setup!$B$10+N26*Setup!$B$7+N26*Setup!$B$8+Setup!$B$9)</f>
        <v/>
      </c>
      <c r="P26" s="16" t="str">
        <f aca="false">IF(A26="","",N26-G26-O26)</f>
        <v/>
      </c>
      <c r="Q26" s="17" t="str">
        <f aca="false">IF(A26="","",IFERROR(P26/N26,0))</f>
        <v/>
      </c>
    </row>
    <row r="27" customFormat="false" ht="15" hidden="false" customHeight="false" outlineLevel="0" collapsed="false">
      <c r="A27" s="15"/>
      <c r="B27" s="16"/>
      <c r="C27" s="15"/>
      <c r="D27" s="16" t="str">
        <f aca="false">IF(A27="","",Setup!$B$4)</f>
        <v/>
      </c>
      <c r="E27" s="16" t="str">
        <f aca="false">IF(A27="","",C27*D27)</f>
        <v/>
      </c>
      <c r="F27" s="16" t="str">
        <f aca="false">IF(A27="","",(B27+E27)*Setup!$B$5)</f>
        <v/>
      </c>
      <c r="G27" s="16" t="str">
        <f aca="false">IF(A27="","",B27+E27+F27)</f>
        <v/>
      </c>
      <c r="H27" s="16" t="str">
        <f aca="false">IF(A27="","",G27*(1+Setup!$B$6))</f>
        <v/>
      </c>
      <c r="I27" s="16" t="str">
        <f aca="false">IF(A27="","",G27*2)</f>
        <v/>
      </c>
      <c r="J27" s="16" t="str">
        <f aca="false">IF(A27="","",E27+B27)</f>
        <v/>
      </c>
      <c r="K27" s="16"/>
      <c r="L27" s="16"/>
      <c r="M27" s="16" t="str">
        <f aca="false">IF(A27="","",AVERAGE(H27:J27))</f>
        <v/>
      </c>
      <c r="N27" s="16" t="str">
        <f aca="false">IF(A27="","",M27)</f>
        <v/>
      </c>
      <c r="O27" s="16" t="str">
        <f aca="false">IF(A27="","",Setup!$B$10+N27*Setup!$B$7+N27*Setup!$B$8+Setup!$B$9)</f>
        <v/>
      </c>
      <c r="P27" s="16" t="str">
        <f aca="false">IF(A27="","",N27-G27-O27)</f>
        <v/>
      </c>
      <c r="Q27" s="17" t="str">
        <f aca="false">IF(A27="","",IFERROR(P27/N27,0))</f>
        <v/>
      </c>
    </row>
    <row r="28" customFormat="false" ht="15" hidden="false" customHeight="false" outlineLevel="0" collapsed="false">
      <c r="A28" s="15"/>
      <c r="B28" s="16"/>
      <c r="C28" s="15"/>
      <c r="D28" s="16" t="str">
        <f aca="false">IF(A28="","",Setup!$B$4)</f>
        <v/>
      </c>
      <c r="E28" s="16" t="str">
        <f aca="false">IF(A28="","",C28*D28)</f>
        <v/>
      </c>
      <c r="F28" s="16" t="str">
        <f aca="false">IF(A28="","",(B28+E28)*Setup!$B$5)</f>
        <v/>
      </c>
      <c r="G28" s="16" t="str">
        <f aca="false">IF(A28="","",B28+E28+F28)</f>
        <v/>
      </c>
      <c r="H28" s="16" t="str">
        <f aca="false">IF(A28="","",G28*(1+Setup!$B$6))</f>
        <v/>
      </c>
      <c r="I28" s="16" t="str">
        <f aca="false">IF(A28="","",G28*2)</f>
        <v/>
      </c>
      <c r="J28" s="16" t="str">
        <f aca="false">IF(A28="","",E28+B28)</f>
        <v/>
      </c>
      <c r="K28" s="16"/>
      <c r="L28" s="16"/>
      <c r="M28" s="16" t="str">
        <f aca="false">IF(A28="","",AVERAGE(H28:J28))</f>
        <v/>
      </c>
      <c r="N28" s="16" t="str">
        <f aca="false">IF(A28="","",M28)</f>
        <v/>
      </c>
      <c r="O28" s="16" t="str">
        <f aca="false">IF(A28="","",Setup!$B$10+N28*Setup!$B$7+N28*Setup!$B$8+Setup!$B$9)</f>
        <v/>
      </c>
      <c r="P28" s="16" t="str">
        <f aca="false">IF(A28="","",N28-G28-O28)</f>
        <v/>
      </c>
      <c r="Q28" s="17" t="str">
        <f aca="false">IF(A28="","",IFERROR(P28/N28,0))</f>
        <v/>
      </c>
    </row>
    <row r="29" customFormat="false" ht="15" hidden="false" customHeight="false" outlineLevel="0" collapsed="false">
      <c r="A29" s="15"/>
      <c r="B29" s="16"/>
      <c r="C29" s="15"/>
      <c r="D29" s="16" t="str">
        <f aca="false">IF(A29="","",Setup!$B$4)</f>
        <v/>
      </c>
      <c r="E29" s="16" t="str">
        <f aca="false">IF(A29="","",C29*D29)</f>
        <v/>
      </c>
      <c r="F29" s="16" t="str">
        <f aca="false">IF(A29="","",(B29+E29)*Setup!$B$5)</f>
        <v/>
      </c>
      <c r="G29" s="16" t="str">
        <f aca="false">IF(A29="","",B29+E29+F29)</f>
        <v/>
      </c>
      <c r="H29" s="16" t="str">
        <f aca="false">IF(A29="","",G29*(1+Setup!$B$6))</f>
        <v/>
      </c>
      <c r="I29" s="16" t="str">
        <f aca="false">IF(A29="","",G29*2)</f>
        <v/>
      </c>
      <c r="J29" s="16" t="str">
        <f aca="false">IF(A29="","",E29+B29)</f>
        <v/>
      </c>
      <c r="K29" s="16"/>
      <c r="L29" s="16"/>
      <c r="M29" s="16" t="str">
        <f aca="false">IF(A29="","",AVERAGE(H29:J29))</f>
        <v/>
      </c>
      <c r="N29" s="16" t="str">
        <f aca="false">IF(A29="","",M29)</f>
        <v/>
      </c>
      <c r="O29" s="16" t="str">
        <f aca="false">IF(A29="","",Setup!$B$10+N29*Setup!$B$7+N29*Setup!$B$8+Setup!$B$9)</f>
        <v/>
      </c>
      <c r="P29" s="16" t="str">
        <f aca="false">IF(A29="","",N29-G29-O29)</f>
        <v/>
      </c>
      <c r="Q29" s="17" t="str">
        <f aca="false">IF(A29="","",IFERROR(P29/N29,0))</f>
        <v/>
      </c>
    </row>
    <row r="30" customFormat="false" ht="15" hidden="false" customHeight="false" outlineLevel="0" collapsed="false">
      <c r="A30" s="15"/>
      <c r="B30" s="16"/>
      <c r="C30" s="15"/>
      <c r="D30" s="16" t="str">
        <f aca="false">IF(A30="","",Setup!$B$4)</f>
        <v/>
      </c>
      <c r="E30" s="16" t="str">
        <f aca="false">IF(A30="","",C30*D30)</f>
        <v/>
      </c>
      <c r="F30" s="16" t="str">
        <f aca="false">IF(A30="","",(B30+E30)*Setup!$B$5)</f>
        <v/>
      </c>
      <c r="G30" s="16" t="str">
        <f aca="false">IF(A30="","",B30+E30+F30)</f>
        <v/>
      </c>
      <c r="H30" s="16" t="str">
        <f aca="false">IF(A30="","",G30*(1+Setup!$B$6))</f>
        <v/>
      </c>
      <c r="I30" s="16" t="str">
        <f aca="false">IF(A30="","",G30*2)</f>
        <v/>
      </c>
      <c r="J30" s="16" t="str">
        <f aca="false">IF(A30="","",E30+B30)</f>
        <v/>
      </c>
      <c r="K30" s="16"/>
      <c r="L30" s="16"/>
      <c r="M30" s="16" t="str">
        <f aca="false">IF(A30="","",AVERAGE(H30:J30))</f>
        <v/>
      </c>
      <c r="N30" s="16" t="str">
        <f aca="false">IF(A30="","",M30)</f>
        <v/>
      </c>
      <c r="O30" s="16" t="str">
        <f aca="false">IF(A30="","",Setup!$B$10+N30*Setup!$B$7+N30*Setup!$B$8+Setup!$B$9)</f>
        <v/>
      </c>
      <c r="P30" s="16" t="str">
        <f aca="false">IF(A30="","",N30-G30-O30)</f>
        <v/>
      </c>
      <c r="Q30" s="17" t="str">
        <f aca="false">IF(A30="","",IFERROR(P30/N30,0))</f>
        <v/>
      </c>
    </row>
    <row r="31" customFormat="false" ht="15" hidden="false" customHeight="false" outlineLevel="0" collapsed="false">
      <c r="A31" s="15"/>
      <c r="B31" s="16"/>
      <c r="C31" s="15"/>
      <c r="D31" s="16" t="str">
        <f aca="false">IF(A31="","",Setup!$B$4)</f>
        <v/>
      </c>
      <c r="E31" s="16" t="str">
        <f aca="false">IF(A31="","",C31*D31)</f>
        <v/>
      </c>
      <c r="F31" s="16" t="str">
        <f aca="false">IF(A31="","",(B31+E31)*Setup!$B$5)</f>
        <v/>
      </c>
      <c r="G31" s="16" t="str">
        <f aca="false">IF(A31="","",B31+E31+F31)</f>
        <v/>
      </c>
      <c r="H31" s="16" t="str">
        <f aca="false">IF(A31="","",G31*(1+Setup!$B$6))</f>
        <v/>
      </c>
      <c r="I31" s="16" t="str">
        <f aca="false">IF(A31="","",G31*2)</f>
        <v/>
      </c>
      <c r="J31" s="16" t="str">
        <f aca="false">IF(A31="","",E31+B31)</f>
        <v/>
      </c>
      <c r="K31" s="16"/>
      <c r="L31" s="16"/>
      <c r="M31" s="16" t="str">
        <f aca="false">IF(A31="","",AVERAGE(H31:J31))</f>
        <v/>
      </c>
      <c r="N31" s="16" t="str">
        <f aca="false">IF(A31="","",M31)</f>
        <v/>
      </c>
      <c r="O31" s="16" t="str">
        <f aca="false">IF(A31="","",Setup!$B$10+N31*Setup!$B$7+N31*Setup!$B$8+Setup!$B$9)</f>
        <v/>
      </c>
      <c r="P31" s="16" t="str">
        <f aca="false">IF(A31="","",N31-G31-O31)</f>
        <v/>
      </c>
      <c r="Q31" s="17" t="str">
        <f aca="false">IF(A31="","",IFERROR(P31/N31,0))</f>
        <v/>
      </c>
    </row>
    <row r="32" customFormat="false" ht="15" hidden="false" customHeight="false" outlineLevel="0" collapsed="false">
      <c r="A32" s="15"/>
      <c r="B32" s="16"/>
      <c r="C32" s="15"/>
      <c r="D32" s="16" t="str">
        <f aca="false">IF(A32="","",Setup!$B$4)</f>
        <v/>
      </c>
      <c r="E32" s="16" t="str">
        <f aca="false">IF(A32="","",C32*D32)</f>
        <v/>
      </c>
      <c r="F32" s="16" t="str">
        <f aca="false">IF(A32="","",(B32+E32)*Setup!$B$5)</f>
        <v/>
      </c>
      <c r="G32" s="16" t="str">
        <f aca="false">IF(A32="","",B32+E32+F32)</f>
        <v/>
      </c>
      <c r="H32" s="16" t="str">
        <f aca="false">IF(A32="","",G32*(1+Setup!$B$6))</f>
        <v/>
      </c>
      <c r="I32" s="16" t="str">
        <f aca="false">IF(A32="","",G32*2)</f>
        <v/>
      </c>
      <c r="J32" s="16" t="str">
        <f aca="false">IF(A32="","",E32+B32)</f>
        <v/>
      </c>
      <c r="K32" s="16"/>
      <c r="L32" s="16"/>
      <c r="M32" s="16" t="str">
        <f aca="false">IF(A32="","",AVERAGE(H32:J32))</f>
        <v/>
      </c>
      <c r="N32" s="16" t="str">
        <f aca="false">IF(A32="","",M32)</f>
        <v/>
      </c>
      <c r="O32" s="16" t="str">
        <f aca="false">IF(A32="","",Setup!$B$10+N32*Setup!$B$7+N32*Setup!$B$8+Setup!$B$9)</f>
        <v/>
      </c>
      <c r="P32" s="16" t="str">
        <f aca="false">IF(A32="","",N32-G32-O32)</f>
        <v/>
      </c>
      <c r="Q32" s="17" t="str">
        <f aca="false">IF(A32="","",IFERROR(P32/N32,0))</f>
        <v/>
      </c>
    </row>
    <row r="33" customFormat="false" ht="15" hidden="false" customHeight="false" outlineLevel="0" collapsed="false">
      <c r="A33" s="15"/>
      <c r="B33" s="16"/>
      <c r="C33" s="15"/>
      <c r="D33" s="16" t="str">
        <f aca="false">IF(A33="","",Setup!$B$4)</f>
        <v/>
      </c>
      <c r="E33" s="16" t="str">
        <f aca="false">IF(A33="","",C33*D33)</f>
        <v/>
      </c>
      <c r="F33" s="16" t="str">
        <f aca="false">IF(A33="","",(B33+E33)*Setup!$B$5)</f>
        <v/>
      </c>
      <c r="G33" s="16" t="str">
        <f aca="false">IF(A33="","",B33+E33+F33)</f>
        <v/>
      </c>
      <c r="H33" s="16" t="str">
        <f aca="false">IF(A33="","",G33*(1+Setup!$B$6))</f>
        <v/>
      </c>
      <c r="I33" s="16" t="str">
        <f aca="false">IF(A33="","",G33*2)</f>
        <v/>
      </c>
      <c r="J33" s="16" t="str">
        <f aca="false">IF(A33="","",E33+B33)</f>
        <v/>
      </c>
      <c r="K33" s="16"/>
      <c r="L33" s="16"/>
      <c r="M33" s="16" t="str">
        <f aca="false">IF(A33="","",AVERAGE(H33:J33))</f>
        <v/>
      </c>
      <c r="N33" s="16" t="str">
        <f aca="false">IF(A33="","",M33)</f>
        <v/>
      </c>
      <c r="O33" s="16" t="str">
        <f aca="false">IF(A33="","",Setup!$B$10+N33*Setup!$B$7+N33*Setup!$B$8+Setup!$B$9)</f>
        <v/>
      </c>
      <c r="P33" s="16" t="str">
        <f aca="false">IF(A33="","",N33-G33-O33)</f>
        <v/>
      </c>
      <c r="Q33" s="17" t="str">
        <f aca="false">IF(A33="","",IFERROR(P33/N33,0))</f>
        <v/>
      </c>
    </row>
    <row r="34" customFormat="false" ht="15" hidden="false" customHeight="false" outlineLevel="0" collapsed="false">
      <c r="A34" s="15"/>
      <c r="B34" s="16"/>
      <c r="C34" s="15"/>
      <c r="D34" s="16" t="str">
        <f aca="false">IF(A34="","",Setup!$B$4)</f>
        <v/>
      </c>
      <c r="E34" s="16" t="str">
        <f aca="false">IF(A34="","",C34*D34)</f>
        <v/>
      </c>
      <c r="F34" s="16" t="str">
        <f aca="false">IF(A34="","",(B34+E34)*Setup!$B$5)</f>
        <v/>
      </c>
      <c r="G34" s="16" t="str">
        <f aca="false">IF(A34="","",B34+E34+F34)</f>
        <v/>
      </c>
      <c r="H34" s="16" t="str">
        <f aca="false">IF(A34="","",G34*(1+Setup!$B$6))</f>
        <v/>
      </c>
      <c r="I34" s="16" t="str">
        <f aca="false">IF(A34="","",G34*2)</f>
        <v/>
      </c>
      <c r="J34" s="16" t="str">
        <f aca="false">IF(A34="","",E34+B34)</f>
        <v/>
      </c>
      <c r="K34" s="16"/>
      <c r="L34" s="16"/>
      <c r="M34" s="16" t="str">
        <f aca="false">IF(A34="","",AVERAGE(H34:J34))</f>
        <v/>
      </c>
      <c r="N34" s="16" t="str">
        <f aca="false">IF(A34="","",M34)</f>
        <v/>
      </c>
      <c r="O34" s="16" t="str">
        <f aca="false">IF(A34="","",Setup!$B$10+N34*Setup!$B$7+N34*Setup!$B$8+Setup!$B$9)</f>
        <v/>
      </c>
      <c r="P34" s="16" t="str">
        <f aca="false">IF(A34="","",N34-G34-O34)</f>
        <v/>
      </c>
      <c r="Q34" s="17" t="str">
        <f aca="false">IF(A34="","",IFERROR(P34/N34,0))</f>
        <v/>
      </c>
    </row>
    <row r="35" customFormat="false" ht="15" hidden="false" customHeight="false" outlineLevel="0" collapsed="false">
      <c r="A35" s="15"/>
      <c r="B35" s="16"/>
      <c r="C35" s="15"/>
      <c r="D35" s="16" t="str">
        <f aca="false">IF(A35="","",Setup!$B$4)</f>
        <v/>
      </c>
      <c r="E35" s="16" t="str">
        <f aca="false">IF(A35="","",C35*D35)</f>
        <v/>
      </c>
      <c r="F35" s="16" t="str">
        <f aca="false">IF(A35="","",(B35+E35)*Setup!$B$5)</f>
        <v/>
      </c>
      <c r="G35" s="16" t="str">
        <f aca="false">IF(A35="","",B35+E35+F35)</f>
        <v/>
      </c>
      <c r="H35" s="16" t="str">
        <f aca="false">IF(A35="","",G35*(1+Setup!$B$6))</f>
        <v/>
      </c>
      <c r="I35" s="16" t="str">
        <f aca="false">IF(A35="","",G35*2)</f>
        <v/>
      </c>
      <c r="J35" s="16" t="str">
        <f aca="false">IF(A35="","",E35+B35)</f>
        <v/>
      </c>
      <c r="K35" s="16"/>
      <c r="L35" s="16"/>
      <c r="M35" s="16" t="str">
        <f aca="false">IF(A35="","",AVERAGE(H35:J35))</f>
        <v/>
      </c>
      <c r="N35" s="16" t="str">
        <f aca="false">IF(A35="","",M35)</f>
        <v/>
      </c>
      <c r="O35" s="16" t="str">
        <f aca="false">IF(A35="","",Setup!$B$10+N35*Setup!$B$7+N35*Setup!$B$8+Setup!$B$9)</f>
        <v/>
      </c>
      <c r="P35" s="16" t="str">
        <f aca="false">IF(A35="","",N35-G35-O35)</f>
        <v/>
      </c>
      <c r="Q35" s="17" t="str">
        <f aca="false">IF(A35="","",IFERROR(P35/N35,0))</f>
        <v/>
      </c>
    </row>
    <row r="36" customFormat="false" ht="15" hidden="false" customHeight="false" outlineLevel="0" collapsed="false">
      <c r="A36" s="15"/>
      <c r="B36" s="16"/>
      <c r="C36" s="15"/>
      <c r="D36" s="16" t="str">
        <f aca="false">IF(A36="","",Setup!$B$4)</f>
        <v/>
      </c>
      <c r="E36" s="16" t="str">
        <f aca="false">IF(A36="","",C36*D36)</f>
        <v/>
      </c>
      <c r="F36" s="16" t="str">
        <f aca="false">IF(A36="","",(B36+E36)*Setup!$B$5)</f>
        <v/>
      </c>
      <c r="G36" s="16" t="str">
        <f aca="false">IF(A36="","",B36+E36+F36)</f>
        <v/>
      </c>
      <c r="H36" s="16" t="str">
        <f aca="false">IF(A36="","",G36*(1+Setup!$B$6))</f>
        <v/>
      </c>
      <c r="I36" s="16" t="str">
        <f aca="false">IF(A36="","",G36*2)</f>
        <v/>
      </c>
      <c r="J36" s="16" t="str">
        <f aca="false">IF(A36="","",E36+B36)</f>
        <v/>
      </c>
      <c r="K36" s="16"/>
      <c r="L36" s="16"/>
      <c r="M36" s="16" t="str">
        <f aca="false">IF(A36="","",AVERAGE(H36:J36))</f>
        <v/>
      </c>
      <c r="N36" s="16" t="str">
        <f aca="false">IF(A36="","",M36)</f>
        <v/>
      </c>
      <c r="O36" s="16" t="str">
        <f aca="false">IF(A36="","",Setup!$B$10+N36*Setup!$B$7+N36*Setup!$B$8+Setup!$B$9)</f>
        <v/>
      </c>
      <c r="P36" s="16" t="str">
        <f aca="false">IF(A36="","",N36-G36-O36)</f>
        <v/>
      </c>
      <c r="Q36" s="17" t="str">
        <f aca="false">IF(A36="","",IFERROR(P36/N36,0))</f>
        <v/>
      </c>
    </row>
    <row r="37" customFormat="false" ht="15" hidden="false" customHeight="false" outlineLevel="0" collapsed="false">
      <c r="A37" s="15"/>
      <c r="B37" s="16"/>
      <c r="C37" s="15"/>
      <c r="D37" s="16" t="str">
        <f aca="false">IF(A37="","",Setup!$B$4)</f>
        <v/>
      </c>
      <c r="E37" s="16" t="str">
        <f aca="false">IF(A37="","",C37*D37)</f>
        <v/>
      </c>
      <c r="F37" s="16" t="str">
        <f aca="false">IF(A37="","",(B37+E37)*Setup!$B$5)</f>
        <v/>
      </c>
      <c r="G37" s="16" t="str">
        <f aca="false">IF(A37="","",B37+E37+F37)</f>
        <v/>
      </c>
      <c r="H37" s="16" t="str">
        <f aca="false">IF(A37="","",G37*(1+Setup!$B$6))</f>
        <v/>
      </c>
      <c r="I37" s="16" t="str">
        <f aca="false">IF(A37="","",G37*2)</f>
        <v/>
      </c>
      <c r="J37" s="16" t="str">
        <f aca="false">IF(A37="","",E37+B37)</f>
        <v/>
      </c>
      <c r="K37" s="16"/>
      <c r="L37" s="16"/>
      <c r="M37" s="16" t="str">
        <f aca="false">IF(A37="","",AVERAGE(H37:J37))</f>
        <v/>
      </c>
      <c r="N37" s="16" t="str">
        <f aca="false">IF(A37="","",M37)</f>
        <v/>
      </c>
      <c r="O37" s="16" t="str">
        <f aca="false">IF(A37="","",Setup!$B$10+N37*Setup!$B$7+N37*Setup!$B$8+Setup!$B$9)</f>
        <v/>
      </c>
      <c r="P37" s="16" t="str">
        <f aca="false">IF(A37="","",N37-G37-O37)</f>
        <v/>
      </c>
      <c r="Q37" s="17" t="str">
        <f aca="false">IF(A37="","",IFERROR(P37/N37,0))</f>
        <v/>
      </c>
    </row>
    <row r="38" customFormat="false" ht="15" hidden="false" customHeight="false" outlineLevel="0" collapsed="false">
      <c r="A38" s="15"/>
      <c r="B38" s="16"/>
      <c r="C38" s="15"/>
      <c r="D38" s="16" t="str">
        <f aca="false">IF(A38="","",Setup!$B$4)</f>
        <v/>
      </c>
      <c r="E38" s="16" t="str">
        <f aca="false">IF(A38="","",C38*D38)</f>
        <v/>
      </c>
      <c r="F38" s="16" t="str">
        <f aca="false">IF(A38="","",(B38+E38)*Setup!$B$5)</f>
        <v/>
      </c>
      <c r="G38" s="16" t="str">
        <f aca="false">IF(A38="","",B38+E38+F38)</f>
        <v/>
      </c>
      <c r="H38" s="16" t="str">
        <f aca="false">IF(A38="","",G38*(1+Setup!$B$6))</f>
        <v/>
      </c>
      <c r="I38" s="16" t="str">
        <f aca="false">IF(A38="","",G38*2)</f>
        <v/>
      </c>
      <c r="J38" s="16" t="str">
        <f aca="false">IF(A38="","",E38+B38)</f>
        <v/>
      </c>
      <c r="K38" s="16"/>
      <c r="L38" s="16"/>
      <c r="M38" s="16" t="str">
        <f aca="false">IF(A38="","",AVERAGE(H38:J38))</f>
        <v/>
      </c>
      <c r="N38" s="16" t="str">
        <f aca="false">IF(A38="","",M38)</f>
        <v/>
      </c>
      <c r="O38" s="16" t="str">
        <f aca="false">IF(A38="","",Setup!$B$10+N38*Setup!$B$7+N38*Setup!$B$8+Setup!$B$9)</f>
        <v/>
      </c>
      <c r="P38" s="16" t="str">
        <f aca="false">IF(A38="","",N38-G38-O38)</f>
        <v/>
      </c>
      <c r="Q38" s="17" t="str">
        <f aca="false">IF(A38="","",IFERROR(P38/N38,0))</f>
        <v/>
      </c>
    </row>
    <row r="39" customFormat="false" ht="15" hidden="false" customHeight="false" outlineLevel="0" collapsed="false">
      <c r="A39" s="15"/>
      <c r="B39" s="16"/>
      <c r="C39" s="15"/>
      <c r="D39" s="16" t="str">
        <f aca="false">IF(A39="","",Setup!$B$4)</f>
        <v/>
      </c>
      <c r="E39" s="16" t="str">
        <f aca="false">IF(A39="","",C39*D39)</f>
        <v/>
      </c>
      <c r="F39" s="16" t="str">
        <f aca="false">IF(A39="","",(B39+E39)*Setup!$B$5)</f>
        <v/>
      </c>
      <c r="G39" s="16" t="str">
        <f aca="false">IF(A39="","",B39+E39+F39)</f>
        <v/>
      </c>
      <c r="H39" s="16" t="str">
        <f aca="false">IF(A39="","",G39*(1+Setup!$B$6))</f>
        <v/>
      </c>
      <c r="I39" s="16" t="str">
        <f aca="false">IF(A39="","",G39*2)</f>
        <v/>
      </c>
      <c r="J39" s="16" t="str">
        <f aca="false">IF(A39="","",E39+B39)</f>
        <v/>
      </c>
      <c r="K39" s="16"/>
      <c r="L39" s="16"/>
      <c r="M39" s="16" t="str">
        <f aca="false">IF(A39="","",AVERAGE(H39:J39))</f>
        <v/>
      </c>
      <c r="N39" s="16" t="str">
        <f aca="false">IF(A39="","",M39)</f>
        <v/>
      </c>
      <c r="O39" s="16" t="str">
        <f aca="false">IF(A39="","",Setup!$B$10+N39*Setup!$B$7+N39*Setup!$B$8+Setup!$B$9)</f>
        <v/>
      </c>
      <c r="P39" s="16" t="str">
        <f aca="false">IF(A39="","",N39-G39-O39)</f>
        <v/>
      </c>
      <c r="Q39" s="17" t="str">
        <f aca="false">IF(A39="","",IFERROR(P39/N39,0))</f>
        <v/>
      </c>
    </row>
    <row r="40" customFormat="false" ht="15" hidden="false" customHeight="false" outlineLevel="0" collapsed="false">
      <c r="A40" s="15"/>
      <c r="B40" s="16"/>
      <c r="C40" s="15"/>
      <c r="D40" s="16" t="str">
        <f aca="false">IF(A40="","",Setup!$B$4)</f>
        <v/>
      </c>
      <c r="E40" s="16" t="str">
        <f aca="false">IF(A40="","",C40*D40)</f>
        <v/>
      </c>
      <c r="F40" s="16" t="str">
        <f aca="false">IF(A40="","",(B40+E40)*Setup!$B$5)</f>
        <v/>
      </c>
      <c r="G40" s="16" t="str">
        <f aca="false">IF(A40="","",B40+E40+F40)</f>
        <v/>
      </c>
      <c r="H40" s="16" t="str">
        <f aca="false">IF(A40="","",G40*(1+Setup!$B$6))</f>
        <v/>
      </c>
      <c r="I40" s="16" t="str">
        <f aca="false">IF(A40="","",G40*2)</f>
        <v/>
      </c>
      <c r="J40" s="16" t="str">
        <f aca="false">IF(A40="","",E40+B40)</f>
        <v/>
      </c>
      <c r="K40" s="16"/>
      <c r="L40" s="16"/>
      <c r="M40" s="16" t="str">
        <f aca="false">IF(A40="","",AVERAGE(H40:J40))</f>
        <v/>
      </c>
      <c r="N40" s="16" t="str">
        <f aca="false">IF(A40="","",M40)</f>
        <v/>
      </c>
      <c r="O40" s="16" t="str">
        <f aca="false">IF(A40="","",Setup!$B$10+N40*Setup!$B$7+N40*Setup!$B$8+Setup!$B$9)</f>
        <v/>
      </c>
      <c r="P40" s="16" t="str">
        <f aca="false">IF(A40="","",N40-G40-O40)</f>
        <v/>
      </c>
      <c r="Q40" s="17" t="str">
        <f aca="false">IF(A40="","",IFERROR(P40/N40,0))</f>
        <v/>
      </c>
    </row>
    <row r="41" customFormat="false" ht="15" hidden="false" customHeight="false" outlineLevel="0" collapsed="false">
      <c r="A41" s="15"/>
      <c r="B41" s="16"/>
      <c r="C41" s="15"/>
      <c r="D41" s="16" t="str">
        <f aca="false">IF(A41="","",Setup!$B$4)</f>
        <v/>
      </c>
      <c r="E41" s="16" t="str">
        <f aca="false">IF(A41="","",C41*D41)</f>
        <v/>
      </c>
      <c r="F41" s="16" t="str">
        <f aca="false">IF(A41="","",(B41+E41)*Setup!$B$5)</f>
        <v/>
      </c>
      <c r="G41" s="16" t="str">
        <f aca="false">IF(A41="","",B41+E41+F41)</f>
        <v/>
      </c>
      <c r="H41" s="16" t="str">
        <f aca="false">IF(A41="","",G41*(1+Setup!$B$6))</f>
        <v/>
      </c>
      <c r="I41" s="16" t="str">
        <f aca="false">IF(A41="","",G41*2)</f>
        <v/>
      </c>
      <c r="J41" s="16" t="str">
        <f aca="false">IF(A41="","",E41+B41)</f>
        <v/>
      </c>
      <c r="K41" s="16"/>
      <c r="L41" s="16"/>
      <c r="M41" s="16" t="str">
        <f aca="false">IF(A41="","",AVERAGE(H41:J41))</f>
        <v/>
      </c>
      <c r="N41" s="16" t="str">
        <f aca="false">IF(A41="","",M41)</f>
        <v/>
      </c>
      <c r="O41" s="16" t="str">
        <f aca="false">IF(A41="","",Setup!$B$10+N41*Setup!$B$7+N41*Setup!$B$8+Setup!$B$9)</f>
        <v/>
      </c>
      <c r="P41" s="16" t="str">
        <f aca="false">IF(A41="","",N41-G41-O41)</f>
        <v/>
      </c>
      <c r="Q41" s="17" t="str">
        <f aca="false">IF(A41="","",IFERROR(P41/N41,0))</f>
        <v/>
      </c>
    </row>
    <row r="42" customFormat="false" ht="15" hidden="false" customHeight="false" outlineLevel="0" collapsed="false">
      <c r="A42" s="15"/>
      <c r="B42" s="16"/>
      <c r="C42" s="15"/>
      <c r="D42" s="16" t="str">
        <f aca="false">IF(A42="","",Setup!$B$4)</f>
        <v/>
      </c>
      <c r="E42" s="16" t="str">
        <f aca="false">IF(A42="","",C42*D42)</f>
        <v/>
      </c>
      <c r="F42" s="16" t="str">
        <f aca="false">IF(A42="","",(B42+E42)*Setup!$B$5)</f>
        <v/>
      </c>
      <c r="G42" s="16" t="str">
        <f aca="false">IF(A42="","",B42+E42+F42)</f>
        <v/>
      </c>
      <c r="H42" s="16" t="str">
        <f aca="false">IF(A42="","",G42*(1+Setup!$B$6))</f>
        <v/>
      </c>
      <c r="I42" s="16" t="str">
        <f aca="false">IF(A42="","",G42*2)</f>
        <v/>
      </c>
      <c r="J42" s="16" t="str">
        <f aca="false">IF(A42="","",E42+B42)</f>
        <v/>
      </c>
      <c r="K42" s="16"/>
      <c r="L42" s="16"/>
      <c r="M42" s="16" t="str">
        <f aca="false">IF(A42="","",AVERAGE(H42:J42))</f>
        <v/>
      </c>
      <c r="N42" s="16" t="str">
        <f aca="false">IF(A42="","",M42)</f>
        <v/>
      </c>
      <c r="O42" s="16" t="str">
        <f aca="false">IF(A42="","",Setup!$B$10+N42*Setup!$B$7+N42*Setup!$B$8+Setup!$B$9)</f>
        <v/>
      </c>
      <c r="P42" s="16" t="str">
        <f aca="false">IF(A42="","",N42-G42-O42)</f>
        <v/>
      </c>
      <c r="Q42" s="17" t="str">
        <f aca="false">IF(A42="","",IFERROR(P42/N42,0))</f>
        <v/>
      </c>
    </row>
    <row r="43" customFormat="false" ht="15" hidden="false" customHeight="false" outlineLevel="0" collapsed="false">
      <c r="A43" s="15"/>
      <c r="B43" s="16"/>
      <c r="C43" s="15"/>
      <c r="D43" s="16" t="str">
        <f aca="false">IF(A43="","",Setup!$B$4)</f>
        <v/>
      </c>
      <c r="E43" s="16" t="str">
        <f aca="false">IF(A43="","",C43*D43)</f>
        <v/>
      </c>
      <c r="F43" s="16" t="str">
        <f aca="false">IF(A43="","",(B43+E43)*Setup!$B$5)</f>
        <v/>
      </c>
      <c r="G43" s="16" t="str">
        <f aca="false">IF(A43="","",B43+E43+F43)</f>
        <v/>
      </c>
      <c r="H43" s="16" t="str">
        <f aca="false">IF(A43="","",G43*(1+Setup!$B$6))</f>
        <v/>
      </c>
      <c r="I43" s="16" t="str">
        <f aca="false">IF(A43="","",G43*2)</f>
        <v/>
      </c>
      <c r="J43" s="16" t="str">
        <f aca="false">IF(A43="","",E43+B43)</f>
        <v/>
      </c>
      <c r="K43" s="16"/>
      <c r="L43" s="16"/>
      <c r="M43" s="16" t="str">
        <f aca="false">IF(A43="","",AVERAGE(H43:J43))</f>
        <v/>
      </c>
      <c r="N43" s="16" t="str">
        <f aca="false">IF(A43="","",M43)</f>
        <v/>
      </c>
      <c r="O43" s="16" t="str">
        <f aca="false">IF(A43="","",Setup!$B$10+N43*Setup!$B$7+N43*Setup!$B$8+Setup!$B$9)</f>
        <v/>
      </c>
      <c r="P43" s="16" t="str">
        <f aca="false">IF(A43="","",N43-G43-O43)</f>
        <v/>
      </c>
      <c r="Q43" s="17" t="str">
        <f aca="false">IF(A43="","",IFERROR(P43/N43,0))</f>
        <v/>
      </c>
    </row>
    <row r="44" customFormat="false" ht="15" hidden="false" customHeight="false" outlineLevel="0" collapsed="false">
      <c r="A44" s="15"/>
      <c r="B44" s="16"/>
      <c r="C44" s="15"/>
      <c r="D44" s="16" t="str">
        <f aca="false">IF(A44="","",Setup!$B$4)</f>
        <v/>
      </c>
      <c r="E44" s="16" t="str">
        <f aca="false">IF(A44="","",C44*D44)</f>
        <v/>
      </c>
      <c r="F44" s="16" t="str">
        <f aca="false">IF(A44="","",(B44+E44)*Setup!$B$5)</f>
        <v/>
      </c>
      <c r="G44" s="16" t="str">
        <f aca="false">IF(A44="","",B44+E44+F44)</f>
        <v/>
      </c>
      <c r="H44" s="16" t="str">
        <f aca="false">IF(A44="","",G44*(1+Setup!$B$6))</f>
        <v/>
      </c>
      <c r="I44" s="16" t="str">
        <f aca="false">IF(A44="","",G44*2)</f>
        <v/>
      </c>
      <c r="J44" s="16" t="str">
        <f aca="false">IF(A44="","",E44+B44)</f>
        <v/>
      </c>
      <c r="K44" s="16"/>
      <c r="L44" s="16"/>
      <c r="M44" s="16" t="str">
        <f aca="false">IF(A44="","",AVERAGE(H44:J44))</f>
        <v/>
      </c>
      <c r="N44" s="16" t="str">
        <f aca="false">IF(A44="","",M44)</f>
        <v/>
      </c>
      <c r="O44" s="16" t="str">
        <f aca="false">IF(A44="","",Setup!$B$10+N44*Setup!$B$7+N44*Setup!$B$8+Setup!$B$9)</f>
        <v/>
      </c>
      <c r="P44" s="16" t="str">
        <f aca="false">IF(A44="","",N44-G44-O44)</f>
        <v/>
      </c>
      <c r="Q44" s="17" t="str">
        <f aca="false">IF(A44="","",IFERROR(P44/N44,0))</f>
        <v/>
      </c>
    </row>
    <row r="45" customFormat="false" ht="15" hidden="false" customHeight="false" outlineLevel="0" collapsed="false">
      <c r="A45" s="15"/>
      <c r="B45" s="16"/>
      <c r="C45" s="15"/>
      <c r="D45" s="16" t="str">
        <f aca="false">IF(A45="","",Setup!$B$4)</f>
        <v/>
      </c>
      <c r="E45" s="16" t="str">
        <f aca="false">IF(A45="","",C45*D45)</f>
        <v/>
      </c>
      <c r="F45" s="16" t="str">
        <f aca="false">IF(A45="","",(B45+E45)*Setup!$B$5)</f>
        <v/>
      </c>
      <c r="G45" s="16" t="str">
        <f aca="false">IF(A45="","",B45+E45+F45)</f>
        <v/>
      </c>
      <c r="H45" s="16" t="str">
        <f aca="false">IF(A45="","",G45*(1+Setup!$B$6))</f>
        <v/>
      </c>
      <c r="I45" s="16" t="str">
        <f aca="false">IF(A45="","",G45*2)</f>
        <v/>
      </c>
      <c r="J45" s="16" t="str">
        <f aca="false">IF(A45="","",E45+B45)</f>
        <v/>
      </c>
      <c r="K45" s="16"/>
      <c r="L45" s="16"/>
      <c r="M45" s="16" t="str">
        <f aca="false">IF(A45="","",AVERAGE(H45:J45))</f>
        <v/>
      </c>
      <c r="N45" s="16" t="str">
        <f aca="false">IF(A45="","",M45)</f>
        <v/>
      </c>
      <c r="O45" s="16" t="str">
        <f aca="false">IF(A45="","",Setup!$B$10+N45*Setup!$B$7+N45*Setup!$B$8+Setup!$B$9)</f>
        <v/>
      </c>
      <c r="P45" s="16" t="str">
        <f aca="false">IF(A45="","",N45-G45-O45)</f>
        <v/>
      </c>
      <c r="Q45" s="17" t="str">
        <f aca="false">IF(A45="","",IFERROR(P45/N45,0))</f>
        <v/>
      </c>
    </row>
    <row r="46" customFormat="false" ht="15" hidden="false" customHeight="false" outlineLevel="0" collapsed="false">
      <c r="A46" s="15"/>
      <c r="B46" s="16"/>
      <c r="C46" s="15"/>
      <c r="D46" s="16" t="str">
        <f aca="false">IF(A46="","",Setup!$B$4)</f>
        <v/>
      </c>
      <c r="E46" s="16" t="str">
        <f aca="false">IF(A46="","",C46*D46)</f>
        <v/>
      </c>
      <c r="F46" s="16" t="str">
        <f aca="false">IF(A46="","",(B46+E46)*Setup!$B$5)</f>
        <v/>
      </c>
      <c r="G46" s="16" t="str">
        <f aca="false">IF(A46="","",B46+E46+F46)</f>
        <v/>
      </c>
      <c r="H46" s="16" t="str">
        <f aca="false">IF(A46="","",G46*(1+Setup!$B$6))</f>
        <v/>
      </c>
      <c r="I46" s="16" t="str">
        <f aca="false">IF(A46="","",G46*2)</f>
        <v/>
      </c>
      <c r="J46" s="16" t="str">
        <f aca="false">IF(A46="","",E46+B46)</f>
        <v/>
      </c>
      <c r="K46" s="16"/>
      <c r="L46" s="16"/>
      <c r="M46" s="16" t="str">
        <f aca="false">IF(A46="","",AVERAGE(H46:J46))</f>
        <v/>
      </c>
      <c r="N46" s="16" t="str">
        <f aca="false">IF(A46="","",M46)</f>
        <v/>
      </c>
      <c r="O46" s="16" t="str">
        <f aca="false">IF(A46="","",Setup!$B$10+N46*Setup!$B$7+N46*Setup!$B$8+Setup!$B$9)</f>
        <v/>
      </c>
      <c r="P46" s="16" t="str">
        <f aca="false">IF(A46="","",N46-G46-O46)</f>
        <v/>
      </c>
      <c r="Q46" s="17" t="str">
        <f aca="false">IF(A46="","",IFERROR(P46/N46,0))</f>
        <v/>
      </c>
    </row>
    <row r="47" customFormat="false" ht="15" hidden="false" customHeight="false" outlineLevel="0" collapsed="false">
      <c r="A47" s="15"/>
      <c r="B47" s="16"/>
      <c r="C47" s="15"/>
      <c r="D47" s="16" t="str">
        <f aca="false">IF(A47="","",Setup!$B$4)</f>
        <v/>
      </c>
      <c r="E47" s="16" t="str">
        <f aca="false">IF(A47="","",C47*D47)</f>
        <v/>
      </c>
      <c r="F47" s="16" t="str">
        <f aca="false">IF(A47="","",(B47+E47)*Setup!$B$5)</f>
        <v/>
      </c>
      <c r="G47" s="16" t="str">
        <f aca="false">IF(A47="","",B47+E47+F47)</f>
        <v/>
      </c>
      <c r="H47" s="16" t="str">
        <f aca="false">IF(A47="","",G47*(1+Setup!$B$6))</f>
        <v/>
      </c>
      <c r="I47" s="16" t="str">
        <f aca="false">IF(A47="","",G47*2)</f>
        <v/>
      </c>
      <c r="J47" s="16" t="str">
        <f aca="false">IF(A47="","",E47+B47)</f>
        <v/>
      </c>
      <c r="K47" s="16"/>
      <c r="L47" s="16"/>
      <c r="M47" s="16" t="str">
        <f aca="false">IF(A47="","",AVERAGE(H47:J47))</f>
        <v/>
      </c>
      <c r="N47" s="16" t="str">
        <f aca="false">IF(A47="","",M47)</f>
        <v/>
      </c>
      <c r="O47" s="16" t="str">
        <f aca="false">IF(A47="","",Setup!$B$10+N47*Setup!$B$7+N47*Setup!$B$8+Setup!$B$9)</f>
        <v/>
      </c>
      <c r="P47" s="16" t="str">
        <f aca="false">IF(A47="","",N47-G47-O47)</f>
        <v/>
      </c>
      <c r="Q47" s="17" t="str">
        <f aca="false">IF(A47="","",IFERROR(P47/N47,0))</f>
        <v/>
      </c>
    </row>
    <row r="48" customFormat="false" ht="15" hidden="false" customHeight="false" outlineLevel="0" collapsed="false">
      <c r="A48" s="15"/>
      <c r="B48" s="16"/>
      <c r="C48" s="15"/>
      <c r="D48" s="16" t="str">
        <f aca="false">IF(A48="","",Setup!$B$4)</f>
        <v/>
      </c>
      <c r="E48" s="16" t="str">
        <f aca="false">IF(A48="","",C48*D48)</f>
        <v/>
      </c>
      <c r="F48" s="16" t="str">
        <f aca="false">IF(A48="","",(B48+E48)*Setup!$B$5)</f>
        <v/>
      </c>
      <c r="G48" s="16" t="str">
        <f aca="false">IF(A48="","",B48+E48+F48)</f>
        <v/>
      </c>
      <c r="H48" s="16" t="str">
        <f aca="false">IF(A48="","",G48*(1+Setup!$B$6))</f>
        <v/>
      </c>
      <c r="I48" s="16" t="str">
        <f aca="false">IF(A48="","",G48*2)</f>
        <v/>
      </c>
      <c r="J48" s="16" t="str">
        <f aca="false">IF(A48="","",E48+B48)</f>
        <v/>
      </c>
      <c r="K48" s="16"/>
      <c r="L48" s="16"/>
      <c r="M48" s="16" t="str">
        <f aca="false">IF(A48="","",AVERAGE(H48:J48))</f>
        <v/>
      </c>
      <c r="N48" s="16" t="str">
        <f aca="false">IF(A48="","",M48)</f>
        <v/>
      </c>
      <c r="O48" s="16" t="str">
        <f aca="false">IF(A48="","",Setup!$B$10+N48*Setup!$B$7+N48*Setup!$B$8+Setup!$B$9)</f>
        <v/>
      </c>
      <c r="P48" s="16" t="str">
        <f aca="false">IF(A48="","",N48-G48-O48)</f>
        <v/>
      </c>
      <c r="Q48" s="17" t="str">
        <f aca="false">IF(A48="","",IFERROR(P48/N48,0))</f>
        <v/>
      </c>
    </row>
    <row r="49" customFormat="false" ht="15" hidden="false" customHeight="false" outlineLevel="0" collapsed="false">
      <c r="A49" s="15"/>
      <c r="B49" s="16"/>
      <c r="C49" s="15"/>
      <c r="D49" s="16" t="str">
        <f aca="false">IF(A49="","",Setup!$B$4)</f>
        <v/>
      </c>
      <c r="E49" s="16" t="str">
        <f aca="false">IF(A49="","",C49*D49)</f>
        <v/>
      </c>
      <c r="F49" s="16" t="str">
        <f aca="false">IF(A49="","",(B49+E49)*Setup!$B$5)</f>
        <v/>
      </c>
      <c r="G49" s="16" t="str">
        <f aca="false">IF(A49="","",B49+E49+F49)</f>
        <v/>
      </c>
      <c r="H49" s="16" t="str">
        <f aca="false">IF(A49="","",G49*(1+Setup!$B$6))</f>
        <v/>
      </c>
      <c r="I49" s="16" t="str">
        <f aca="false">IF(A49="","",G49*2)</f>
        <v/>
      </c>
      <c r="J49" s="16" t="str">
        <f aca="false">IF(A49="","",E49+B49)</f>
        <v/>
      </c>
      <c r="K49" s="16"/>
      <c r="L49" s="16"/>
      <c r="M49" s="16" t="str">
        <f aca="false">IF(A49="","",AVERAGE(H49:J49))</f>
        <v/>
      </c>
      <c r="N49" s="16" t="str">
        <f aca="false">IF(A49="","",M49)</f>
        <v/>
      </c>
      <c r="O49" s="16" t="str">
        <f aca="false">IF(A49="","",Setup!$B$10+N49*Setup!$B$7+N49*Setup!$B$8+Setup!$B$9)</f>
        <v/>
      </c>
      <c r="P49" s="16" t="str">
        <f aca="false">IF(A49="","",N49-G49-O49)</f>
        <v/>
      </c>
      <c r="Q49" s="17" t="str">
        <f aca="false">IF(A49="","",IFERROR(P49/N49,0))</f>
        <v/>
      </c>
    </row>
    <row r="50" customFormat="false" ht="15" hidden="false" customHeight="false" outlineLevel="0" collapsed="false">
      <c r="A50" s="15"/>
      <c r="B50" s="16"/>
      <c r="C50" s="15"/>
      <c r="D50" s="16" t="str">
        <f aca="false">IF(A50="","",Setup!$B$4)</f>
        <v/>
      </c>
      <c r="E50" s="16" t="str">
        <f aca="false">IF(A50="","",C50*D50)</f>
        <v/>
      </c>
      <c r="F50" s="16" t="str">
        <f aca="false">IF(A50="","",(B50+E50)*Setup!$B$5)</f>
        <v/>
      </c>
      <c r="G50" s="16" t="str">
        <f aca="false">IF(A50="","",B50+E50+F50)</f>
        <v/>
      </c>
      <c r="H50" s="16" t="str">
        <f aca="false">IF(A50="","",G50*(1+Setup!$B$6))</f>
        <v/>
      </c>
      <c r="I50" s="16" t="str">
        <f aca="false">IF(A50="","",G50*2)</f>
        <v/>
      </c>
      <c r="J50" s="16" t="str">
        <f aca="false">IF(A50="","",E50+B50)</f>
        <v/>
      </c>
      <c r="K50" s="16"/>
      <c r="L50" s="16"/>
      <c r="M50" s="16" t="str">
        <f aca="false">IF(A50="","",AVERAGE(H50:J50))</f>
        <v/>
      </c>
      <c r="N50" s="16" t="str">
        <f aca="false">IF(A50="","",M50)</f>
        <v/>
      </c>
      <c r="O50" s="16" t="str">
        <f aca="false">IF(A50="","",Setup!$B$10+N50*Setup!$B$7+N50*Setup!$B$8+Setup!$B$9)</f>
        <v/>
      </c>
      <c r="P50" s="16" t="str">
        <f aca="false">IF(A50="","",N50-G50-O50)</f>
        <v/>
      </c>
      <c r="Q50" s="17" t="str">
        <f aca="false">IF(A50="","",IFERROR(P50/N50,0))</f>
        <v/>
      </c>
    </row>
    <row r="51" customFormat="false" ht="15" hidden="false" customHeight="false" outlineLevel="0" collapsed="false">
      <c r="A51" s="15"/>
      <c r="B51" s="16"/>
      <c r="C51" s="15"/>
      <c r="D51" s="16" t="str">
        <f aca="false">IF(A51="","",Setup!$B$4)</f>
        <v/>
      </c>
      <c r="E51" s="16" t="str">
        <f aca="false">IF(A51="","",C51*D51)</f>
        <v/>
      </c>
      <c r="F51" s="16" t="str">
        <f aca="false">IF(A51="","",(B51+E51)*Setup!$B$5)</f>
        <v/>
      </c>
      <c r="G51" s="16" t="str">
        <f aca="false">IF(A51="","",B51+E51+F51)</f>
        <v/>
      </c>
      <c r="H51" s="16" t="str">
        <f aca="false">IF(A51="","",G51*(1+Setup!$B$6))</f>
        <v/>
      </c>
      <c r="I51" s="16" t="str">
        <f aca="false">IF(A51="","",G51*2)</f>
        <v/>
      </c>
      <c r="J51" s="16" t="str">
        <f aca="false">IF(A51="","",E51+B51)</f>
        <v/>
      </c>
      <c r="K51" s="16"/>
      <c r="L51" s="16"/>
      <c r="M51" s="16" t="str">
        <f aca="false">IF(A51="","",AVERAGE(H51:J51))</f>
        <v/>
      </c>
      <c r="N51" s="16" t="str">
        <f aca="false">IF(A51="","",M51)</f>
        <v/>
      </c>
      <c r="O51" s="16" t="str">
        <f aca="false">IF(A51="","",Setup!$B$10+N51*Setup!$B$7+N51*Setup!$B$8+Setup!$B$9)</f>
        <v/>
      </c>
      <c r="P51" s="16" t="str">
        <f aca="false">IF(A51="","",N51-G51-O51)</f>
        <v/>
      </c>
      <c r="Q51" s="17" t="str">
        <f aca="false">IF(A51="","",IFERROR(P51/N51,0))</f>
        <v/>
      </c>
    </row>
    <row r="52" customFormat="false" ht="15" hidden="false" customHeight="false" outlineLevel="0" collapsed="false">
      <c r="A52" s="15"/>
      <c r="B52" s="16"/>
      <c r="C52" s="15"/>
      <c r="D52" s="16" t="str">
        <f aca="false">IF(A52="","",Setup!$B$4)</f>
        <v/>
      </c>
      <c r="E52" s="16" t="str">
        <f aca="false">IF(A52="","",C52*D52)</f>
        <v/>
      </c>
      <c r="F52" s="16" t="str">
        <f aca="false">IF(A52="","",(B52+E52)*Setup!$B$5)</f>
        <v/>
      </c>
      <c r="G52" s="16" t="str">
        <f aca="false">IF(A52="","",B52+E52+F52)</f>
        <v/>
      </c>
      <c r="H52" s="16" t="str">
        <f aca="false">IF(A52="","",G52*(1+Setup!$B$6))</f>
        <v/>
      </c>
      <c r="I52" s="16" t="str">
        <f aca="false">IF(A52="","",G52*2)</f>
        <v/>
      </c>
      <c r="J52" s="16" t="str">
        <f aca="false">IF(A52="","",E52+B52)</f>
        <v/>
      </c>
      <c r="K52" s="16"/>
      <c r="L52" s="16"/>
      <c r="M52" s="16" t="str">
        <f aca="false">IF(A52="","",AVERAGE(H52:J52))</f>
        <v/>
      </c>
      <c r="N52" s="16" t="str">
        <f aca="false">IF(A52="","",M52)</f>
        <v/>
      </c>
      <c r="O52" s="16" t="str">
        <f aca="false">IF(A52="","",Setup!$B$10+N52*Setup!$B$7+N52*Setup!$B$8+Setup!$B$9)</f>
        <v/>
      </c>
      <c r="P52" s="16" t="str">
        <f aca="false">IF(A52="","",N52-G52-O52)</f>
        <v/>
      </c>
      <c r="Q52" s="17" t="str">
        <f aca="false">IF(A52="","",IFERROR(P52/N52,0))</f>
        <v/>
      </c>
    </row>
    <row r="53" customFormat="false" ht="15" hidden="false" customHeight="false" outlineLevel="0" collapsed="false">
      <c r="A53" s="15"/>
      <c r="B53" s="16"/>
      <c r="C53" s="15"/>
      <c r="D53" s="16" t="str">
        <f aca="false">IF(A53="","",Setup!$B$4)</f>
        <v/>
      </c>
      <c r="E53" s="16" t="str">
        <f aca="false">IF(A53="","",C53*D53)</f>
        <v/>
      </c>
      <c r="F53" s="16" t="str">
        <f aca="false">IF(A53="","",(B53+E53)*Setup!$B$5)</f>
        <v/>
      </c>
      <c r="G53" s="16" t="str">
        <f aca="false">IF(A53="","",B53+E53+F53)</f>
        <v/>
      </c>
      <c r="H53" s="16" t="str">
        <f aca="false">IF(A53="","",G53*(1+Setup!$B$6))</f>
        <v/>
      </c>
      <c r="I53" s="16" t="str">
        <f aca="false">IF(A53="","",G53*2)</f>
        <v/>
      </c>
      <c r="J53" s="16" t="str">
        <f aca="false">IF(A53="","",E53+B53)</f>
        <v/>
      </c>
      <c r="K53" s="16"/>
      <c r="L53" s="16"/>
      <c r="M53" s="16" t="str">
        <f aca="false">IF(A53="","",AVERAGE(H53:J53))</f>
        <v/>
      </c>
      <c r="N53" s="16" t="str">
        <f aca="false">IF(A53="","",M53)</f>
        <v/>
      </c>
      <c r="O53" s="16" t="str">
        <f aca="false">IF(A53="","",Setup!$B$10+N53*Setup!$B$7+N53*Setup!$B$8+Setup!$B$9)</f>
        <v/>
      </c>
      <c r="P53" s="16" t="str">
        <f aca="false">IF(A53="","",N53-G53-O53)</f>
        <v/>
      </c>
      <c r="Q53" s="17" t="str">
        <f aca="false">IF(A53="","",IFERROR(P53/N53,0))</f>
        <v/>
      </c>
    </row>
    <row r="54" customFormat="false" ht="15" hidden="false" customHeight="false" outlineLevel="0" collapsed="false">
      <c r="A54" s="15"/>
      <c r="B54" s="16"/>
      <c r="C54" s="15"/>
      <c r="D54" s="16" t="str">
        <f aca="false">IF(A54="","",Setup!$B$4)</f>
        <v/>
      </c>
      <c r="E54" s="16" t="str">
        <f aca="false">IF(A54="","",C54*D54)</f>
        <v/>
      </c>
      <c r="F54" s="16" t="str">
        <f aca="false">IF(A54="","",(B54+E54)*Setup!$B$5)</f>
        <v/>
      </c>
      <c r="G54" s="16" t="str">
        <f aca="false">IF(A54="","",B54+E54+F54)</f>
        <v/>
      </c>
      <c r="H54" s="16" t="str">
        <f aca="false">IF(A54="","",G54*(1+Setup!$B$6))</f>
        <v/>
      </c>
      <c r="I54" s="16" t="str">
        <f aca="false">IF(A54="","",G54*2)</f>
        <v/>
      </c>
      <c r="J54" s="16" t="str">
        <f aca="false">IF(A54="","",E54+B54)</f>
        <v/>
      </c>
      <c r="K54" s="16"/>
      <c r="L54" s="16"/>
      <c r="M54" s="16" t="str">
        <f aca="false">IF(A54="","",AVERAGE(H54:J54))</f>
        <v/>
      </c>
      <c r="N54" s="16" t="str">
        <f aca="false">IF(A54="","",M54)</f>
        <v/>
      </c>
      <c r="O54" s="16" t="str">
        <f aca="false">IF(A54="","",Setup!$B$10+N54*Setup!$B$7+N54*Setup!$B$8+Setup!$B$9)</f>
        <v/>
      </c>
      <c r="P54" s="16" t="str">
        <f aca="false">IF(A54="","",N54-G54-O54)</f>
        <v/>
      </c>
      <c r="Q54" s="17" t="str">
        <f aca="false">IF(A54="","",IFERROR(P54/N54,0))</f>
        <v/>
      </c>
    </row>
    <row r="55" customFormat="false" ht="15" hidden="false" customHeight="false" outlineLevel="0" collapsed="false">
      <c r="A55" s="15"/>
      <c r="B55" s="16"/>
      <c r="C55" s="15"/>
      <c r="D55" s="16" t="str">
        <f aca="false">IF(A55="","",Setup!$B$4)</f>
        <v/>
      </c>
      <c r="E55" s="16" t="str">
        <f aca="false">IF(A55="","",C55*D55)</f>
        <v/>
      </c>
      <c r="F55" s="16" t="str">
        <f aca="false">IF(A55="","",(B55+E55)*Setup!$B$5)</f>
        <v/>
      </c>
      <c r="G55" s="16" t="str">
        <f aca="false">IF(A55="","",B55+E55+F55)</f>
        <v/>
      </c>
      <c r="H55" s="16" t="str">
        <f aca="false">IF(A55="","",G55*(1+Setup!$B$6))</f>
        <v/>
      </c>
      <c r="I55" s="16" t="str">
        <f aca="false">IF(A55="","",G55*2)</f>
        <v/>
      </c>
      <c r="J55" s="16" t="str">
        <f aca="false">IF(A55="","",E55+B55)</f>
        <v/>
      </c>
      <c r="K55" s="16"/>
      <c r="L55" s="16"/>
      <c r="M55" s="16" t="str">
        <f aca="false">IF(A55="","",AVERAGE(H55:J55))</f>
        <v/>
      </c>
      <c r="N55" s="16" t="str">
        <f aca="false">IF(A55="","",M55)</f>
        <v/>
      </c>
      <c r="O55" s="16" t="str">
        <f aca="false">IF(A55="","",Setup!$B$10+N55*Setup!$B$7+N55*Setup!$B$8+Setup!$B$9)</f>
        <v/>
      </c>
      <c r="P55" s="16" t="str">
        <f aca="false">IF(A55="","",N55-G55-O55)</f>
        <v/>
      </c>
      <c r="Q55" s="17" t="str">
        <f aca="false">IF(A55="","",IFERROR(P55/N55,0))</f>
        <v/>
      </c>
    </row>
    <row r="56" customFormat="false" ht="15" hidden="false" customHeight="false" outlineLevel="0" collapsed="false">
      <c r="A56" s="15"/>
      <c r="B56" s="16"/>
      <c r="C56" s="15"/>
      <c r="D56" s="16" t="str">
        <f aca="false">IF(A56="","",Setup!$B$4)</f>
        <v/>
      </c>
      <c r="E56" s="16" t="str">
        <f aca="false">IF(A56="","",C56*D56)</f>
        <v/>
      </c>
      <c r="F56" s="16" t="str">
        <f aca="false">IF(A56="","",(B56+E56)*Setup!$B$5)</f>
        <v/>
      </c>
      <c r="G56" s="16" t="str">
        <f aca="false">IF(A56="","",B56+E56+F56)</f>
        <v/>
      </c>
      <c r="H56" s="16" t="str">
        <f aca="false">IF(A56="","",G56*(1+Setup!$B$6))</f>
        <v/>
      </c>
      <c r="I56" s="16" t="str">
        <f aca="false">IF(A56="","",G56*2)</f>
        <v/>
      </c>
      <c r="J56" s="16" t="str">
        <f aca="false">IF(A56="","",E56+B56)</f>
        <v/>
      </c>
      <c r="K56" s="16"/>
      <c r="L56" s="16"/>
      <c r="M56" s="16" t="str">
        <f aca="false">IF(A56="","",AVERAGE(H56:J56))</f>
        <v/>
      </c>
      <c r="N56" s="16" t="str">
        <f aca="false">IF(A56="","",M56)</f>
        <v/>
      </c>
      <c r="O56" s="16" t="str">
        <f aca="false">IF(A56="","",Setup!$B$10+N56*Setup!$B$7+N56*Setup!$B$8+Setup!$B$9)</f>
        <v/>
      </c>
      <c r="P56" s="16" t="str">
        <f aca="false">IF(A56="","",N56-G56-O56)</f>
        <v/>
      </c>
      <c r="Q56" s="17" t="str">
        <f aca="false">IF(A56="","",IFERROR(P56/N56,0))</f>
        <v/>
      </c>
    </row>
    <row r="57" customFormat="false" ht="15" hidden="false" customHeight="false" outlineLevel="0" collapsed="false">
      <c r="A57" s="15"/>
      <c r="B57" s="16"/>
      <c r="C57" s="15"/>
      <c r="D57" s="16" t="str">
        <f aca="false">IF(A57="","",Setup!$B$4)</f>
        <v/>
      </c>
      <c r="E57" s="16" t="str">
        <f aca="false">IF(A57="","",C57*D57)</f>
        <v/>
      </c>
      <c r="F57" s="16" t="str">
        <f aca="false">IF(A57="","",(B57+E57)*Setup!$B$5)</f>
        <v/>
      </c>
      <c r="G57" s="16" t="str">
        <f aca="false">IF(A57="","",B57+E57+F57)</f>
        <v/>
      </c>
      <c r="H57" s="16" t="str">
        <f aca="false">IF(A57="","",G57*(1+Setup!$B$6))</f>
        <v/>
      </c>
      <c r="I57" s="16" t="str">
        <f aca="false">IF(A57="","",G57*2)</f>
        <v/>
      </c>
      <c r="J57" s="16" t="str">
        <f aca="false">IF(A57="","",E57+B57)</f>
        <v/>
      </c>
      <c r="K57" s="16"/>
      <c r="L57" s="16"/>
      <c r="M57" s="16" t="str">
        <f aca="false">IF(A57="","",AVERAGE(H57:J57))</f>
        <v/>
      </c>
      <c r="N57" s="16" t="str">
        <f aca="false">IF(A57="","",M57)</f>
        <v/>
      </c>
      <c r="O57" s="16" t="str">
        <f aca="false">IF(A57="","",Setup!$B$10+N57*Setup!$B$7+N57*Setup!$B$8+Setup!$B$9)</f>
        <v/>
      </c>
      <c r="P57" s="16" t="str">
        <f aca="false">IF(A57="","",N57-G57-O57)</f>
        <v/>
      </c>
      <c r="Q57" s="17" t="str">
        <f aca="false">IF(A57="","",IFERROR(P57/N57,0))</f>
        <v/>
      </c>
    </row>
    <row r="58" customFormat="false" ht="15" hidden="false" customHeight="false" outlineLevel="0" collapsed="false">
      <c r="A58" s="15"/>
      <c r="B58" s="16"/>
      <c r="C58" s="15"/>
      <c r="D58" s="16" t="str">
        <f aca="false">IF(A58="","",Setup!$B$4)</f>
        <v/>
      </c>
      <c r="E58" s="16" t="str">
        <f aca="false">IF(A58="","",C58*D58)</f>
        <v/>
      </c>
      <c r="F58" s="16" t="str">
        <f aca="false">IF(A58="","",(B58+E58)*Setup!$B$5)</f>
        <v/>
      </c>
      <c r="G58" s="16" t="str">
        <f aca="false">IF(A58="","",B58+E58+F58)</f>
        <v/>
      </c>
      <c r="H58" s="16" t="str">
        <f aca="false">IF(A58="","",G58*(1+Setup!$B$6))</f>
        <v/>
      </c>
      <c r="I58" s="16" t="str">
        <f aca="false">IF(A58="","",G58*2)</f>
        <v/>
      </c>
      <c r="J58" s="16" t="str">
        <f aca="false">IF(A58="","",E58+B58)</f>
        <v/>
      </c>
      <c r="K58" s="16"/>
      <c r="L58" s="16"/>
      <c r="M58" s="16" t="str">
        <f aca="false">IF(A58="","",AVERAGE(H58:J58))</f>
        <v/>
      </c>
      <c r="N58" s="16" t="str">
        <f aca="false">IF(A58="","",M58)</f>
        <v/>
      </c>
      <c r="O58" s="16" t="str">
        <f aca="false">IF(A58="","",Setup!$B$10+N58*Setup!$B$7+N58*Setup!$B$8+Setup!$B$9)</f>
        <v/>
      </c>
      <c r="P58" s="16" t="str">
        <f aca="false">IF(A58="","",N58-G58-O58)</f>
        <v/>
      </c>
      <c r="Q58" s="17" t="str">
        <f aca="false">IF(A58="","",IFERROR(P58/N58,0))</f>
        <v/>
      </c>
    </row>
  </sheetData>
  <mergeCells count="3">
    <mergeCell ref="A1:H1"/>
    <mergeCell ref="A2:H2"/>
    <mergeCell ref="A7:D7"/>
  </mergeCells>
  <conditionalFormatting sqref="Q9:Q58">
    <cfRule type="expression" priority="2" aboveAverage="0" equalAverage="0" bottom="0" percent="0" rank="0" text="" dxfId="0">
      <formula>AND(A9&lt;&gt;"",Q9&lt;0.1)</formula>
    </cfRule>
    <cfRule type="colorScale" priority="3">
      <colorScale>
        <cfvo type="num" val="0"/>
        <cfvo type="num" val="0.3"/>
        <cfvo type="num" val="0.6"/>
        <color rgb="FFF8696B"/>
        <color rgb="FFFFEB84"/>
        <color rgb="FF63BE7B"/>
      </colorScale>
    </cfRule>
  </conditionalFormatting>
  <dataValidations count="1">
    <dataValidation allowBlank="true" errorStyle="stop" operator="between" showDropDown="false" showErrorMessage="false" showInputMessage="false" sqref="B4" type="list">
      <formula1>$A$9:$A$58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2026-08-15T15:39:02Z</dcterms:created>
  <dc:creator>openpyxl</dc:creator>
  <dc:description/>
  <dc:language>en-US</dc:language>
  <cp:lastModifiedBy/>
  <dcterms:modified xsi:type="dcterms:W3CDTF">2026-08-15T15:39:04Z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