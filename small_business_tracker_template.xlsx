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Customer Tracker" sheetId="3" state="visible" r:id="rId5"/>
    <sheet name="Inventory Tracker" sheetId="4" state="visible" r:id="rId6"/>
    <sheet name="Order Tracker" sheetId="5" state="visible" r:id="rId7"/>
    <sheet name="Invoice Generator" sheetId="6" state="visible" r:id="rId8"/>
    <sheet name="Sales Dashboard" sheetId="7" state="visible" r:id="rId9"/>
    <sheet name="Customer Insights" sheetId="8" state="visible" r:id="rId10"/>
    <sheet name="Notes &amp; Lege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<sst xmlns="http://schemas.openxmlformats.org/spreadsheetml/2006/main" count="152" uniqueCount="131">
  <si>
    <t xml:space="preserve">How to Use This Small Business Tracker</t>
  </si>
  <si>
    <t xml:space="preserve">1. Open 'Setup' first. Set your business info, tax rate, and product categories.</t>
  </si>
  <si>
    <t xml:space="preserve">2. Add every product you sell in 'Inventory Tracker' — cost, price, quantity on hand, and reorder level. Low-stock items are flagged automatically.</t>
  </si>
  <si>
    <t xml:space="preserve">3. Add every customer in 'Customer Tracker' — their order count and total spend update automatically once you log orders.</t>
  </si>
  <si>
    <t xml:space="preserve">4. Log every sale in 'Order Tracker'. Give every line of the same order the same Invoice # — Unit Price is pulled from Inventory automatically.</t>
  </si>
  <si>
    <t xml:space="preserve">5. Enter an Invoice # in 'Invoice Generator' to produce a ready-to-send invoice for that order, pulling every matching line item automatically.</t>
  </si>
  <si>
    <t xml:space="preserve">6. 'Sales Dashboard' and 'Customer Insights' update automatically from your order history — no manual entry needed.</t>
  </si>
  <si>
    <t xml:space="preserve">7. Only edit yellow (input) or white cells. Green-header and formula cells update automatically — do not overwrite them.</t>
  </si>
  <si>
    <t xml:space="preserve">8. To log more than the pre-formatted rows, select the last formatted row in a tracker and copy it downward; formulas will carry over.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</si>
  <si>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</si>
  <si>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</si>
  <si>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</si>
  <si>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Setting</t>
  </si>
  <si>
    <t xml:space="preserve">Value</t>
  </si>
  <si>
    <t xml:space="preserve">Business Email</t>
  </si>
  <si>
    <t xml:space="preserve">hello@example.com</t>
  </si>
  <si>
    <t xml:space="preserve">Tax Rate (%)</t>
  </si>
  <si>
    <t xml:space="preserve">Invoice Prefix</t>
  </si>
  <si>
    <t xml:space="preserve">INV-</t>
  </si>
  <si>
    <t xml:space="preserve">Product Categories</t>
  </si>
  <si>
    <t xml:space="preserve">Order Status Options</t>
  </si>
  <si>
    <t xml:space="preserve">Payment Status Options</t>
  </si>
  <si>
    <t xml:space="preserve">Apparel</t>
  </si>
  <si>
    <t xml:space="preserve">Pending</t>
  </si>
  <si>
    <t xml:space="preserve">Unpaid</t>
  </si>
  <si>
    <t xml:space="preserve">Accessories</t>
  </si>
  <si>
    <t xml:space="preserve">In Production</t>
  </si>
  <si>
    <t xml:space="preserve">Paid</t>
  </si>
  <si>
    <t xml:space="preserve">Home Goods</t>
  </si>
  <si>
    <t xml:space="preserve">Shipped</t>
  </si>
  <si>
    <t xml:space="preserve">Refunded</t>
  </si>
  <si>
    <t xml:space="preserve">Digital</t>
  </si>
  <si>
    <t xml:space="preserve">Delivered</t>
  </si>
  <si>
    <t xml:space="preserve">Custom / Made-to-Order</t>
  </si>
  <si>
    <t xml:space="preserve">Cancelled</t>
  </si>
  <si>
    <t xml:space="preserve">Other</t>
  </si>
  <si>
    <t xml:space="preserve">{{CLIENT_NAME}} — Customer Tracker</t>
  </si>
  <si>
    <t xml:space="preserve">Customer ID</t>
  </si>
  <si>
    <t xml:space="preserve">Name</t>
  </si>
  <si>
    <t xml:space="preserve">Email</t>
  </si>
  <si>
    <t xml:space="preserve">Phone</t>
  </si>
  <si>
    <t xml:space="preserve">Address</t>
  </si>
  <si>
    <t xml:space="preserve">Total Orders</t>
  </si>
  <si>
    <t xml:space="preserve">Total Spent ({{CURRENCY}})</t>
  </si>
  <si>
    <t xml:space="preserve">Last Order Date</t>
  </si>
  <si>
    <t xml:space="preserve">Customer Since</t>
  </si>
  <si>
    <t xml:space="preserve">Notes</t>
  </si>
  <si>
    <t xml:space="preserve">Spend Rank</t>
  </si>
  <si>
    <t xml:space="preserve">{{CLIENT_NAME}} — Inventory Tracker</t>
  </si>
  <si>
    <t xml:space="preserve">SKU</t>
  </si>
  <si>
    <t xml:space="preserve">Product Name</t>
  </si>
  <si>
    <t xml:space="preserve">Category</t>
  </si>
  <si>
    <t xml:space="preserve">Cost/Unit ({{CURRENCY}})</t>
  </si>
  <si>
    <t xml:space="preserve">Price/Unit ({{CURRENCY}})</t>
  </si>
  <si>
    <t xml:space="preserve">Qty on Hand</t>
  </si>
  <si>
    <t xml:space="preserve">Reorder Level</t>
  </si>
  <si>
    <t xml:space="preserve">Stock Value ({{CURRENCY}})</t>
  </si>
  <si>
    <t xml:space="preserve">Potential Revenue ({{CURRENCY}})</t>
  </si>
  <si>
    <t xml:space="preserve">Status</t>
  </si>
  <si>
    <t xml:space="preserve">Units Sold</t>
  </si>
  <si>
    <t xml:space="preserve">Revenue ({{CURRENCY}})</t>
  </si>
  <si>
    <t xml:space="preserve">Sales Rank</t>
  </si>
  <si>
    <t xml:space="preserve">{{CLIENT_NAME}} — Order Tracker</t>
  </si>
  <si>
    <t xml:space="preserve">Invoice #</t>
  </si>
  <si>
    <t xml:space="preserve">Line #</t>
  </si>
  <si>
    <t xml:space="preserve">Key</t>
  </si>
  <si>
    <t xml:space="preserve">Date</t>
  </si>
  <si>
    <t xml:space="preserve">Customer</t>
  </si>
  <si>
    <t xml:space="preserve">Product</t>
  </si>
  <si>
    <t xml:space="preserve">Qty</t>
  </si>
  <si>
    <t xml:space="preserve">Unit Price ({{CURRENCY}})</t>
  </si>
  <si>
    <t xml:space="preserve">Line Total ({{CURRENCY}})</t>
  </si>
  <si>
    <t xml:space="preserve">Order Status</t>
  </si>
  <si>
    <t xml:space="preserve">Payment Status</t>
  </si>
  <si>
    <t xml:space="preserve">Year</t>
  </si>
  <si>
    <t xml:space="preserve">Month</t>
  </si>
  <si>
    <t xml:space="preserve">{{CLIENT_NAME}}</t>
  </si>
  <si>
    <t xml:space="preserve">Enter Invoice #</t>
  </si>
  <si>
    <t xml:space="preserve">Bill To:</t>
  </si>
  <si>
    <t xml:space="preserve">Displayed As</t>
  </si>
  <si>
    <t xml:space="preserve">Date:</t>
  </si>
  <si>
    <t xml:space="preserve">Order Status:</t>
  </si>
  <si>
    <t xml:space="preserve">Payment Status:</t>
  </si>
  <si>
    <t xml:space="preserve">Subtotal:</t>
  </si>
  <si>
    <t xml:space="preserve">Tax:</t>
  </si>
  <si>
    <t xml:space="preserve">Total Due:</t>
  </si>
  <si>
    <t xml:space="preserve">Change the 'Enter Invoice #' cell above to generate an invoice for any order on file.</t>
  </si>
  <si>
    <t xml:space="preserve">{{CLIENT_NAME}} — Sales Dashboard</t>
  </si>
  <si>
    <t xml:space="preserve">{{NICHE}} — figures in {{CURRENCY}}</t>
  </si>
  <si>
    <t xml:space="preserve">Total Revenue ({{CURRENCY}})</t>
  </si>
  <si>
    <t xml:space="preserve">Total Customers</t>
  </si>
  <si>
    <t xml:space="preserve">Avg Order Value ({{CURRENCY}})</t>
  </si>
  <si>
    <t xml:space="preserve">Orders by Status</t>
  </si>
  <si>
    <t xml:space="preserve">Orders</t>
  </si>
  <si>
    <t xml:space="preserve">Revenue by Month</t>
  </si>
  <si>
    <t xml:space="preserve">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</si>
  <si>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</si>
  <si>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</si>
  <si>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</si>
  <si>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</si>
  <si>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</si>
  <si>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</si>
  <si>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</si>
  <si>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</si>
  <si>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</si>
  <si>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</si>
  <si>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</si>
  <si>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</si>
  <si>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Top 5 Products by Revenue</t>
  </si>
  <si>
    <t xml:space="preserve">Rank</t>
  </si>
  <si>
    <t xml:space="preserve">{{CLIENT_NAME}} — Customer Insights</t>
  </si>
  <si>
    <t xml:space="preserve">Returning Customers</t>
  </si>
  <si>
    <t xml:space="preserve">Repeat Customer Rate</t>
  </si>
  <si>
    <t xml:space="preserve">Avg Spend per Customer ({{CURRENCY}})</t>
  </si>
  <si>
    <t xml:space="preserve">Top 10 Customers by Spend</t>
  </si>
  <si>
    <t xml:space="preserve">Total Spent</t>
  </si>
  <si>
    <t xml:space="preserve">Notes &amp; Legend</t>
  </si>
  <si>
    <t xml:space="preserve">Color / Style</t>
  </si>
  <si>
    <t xml:space="preserve">Meaning</t>
  </si>
  <si>
    <t xml:space="preserve">Yellow cells</t>
  </si>
  <si>
    <t xml:space="preserve">Input cells — change these (Year, Invoice #, Tax Rate).</t>
  </si>
  <si>
    <t xml:space="preserve">White cells with borders</t>
  </si>
  <si>
    <t xml:space="preserve">Data entry rows in Customer Tracker, Inventory Tracker, and Order Tracker.</t>
  </si>
  <si>
    <t xml:space="preserve">Green header cells</t>
  </si>
  <si>
    <t xml:space="preserve">Column headers — do not edit.</t>
  </si>
  <si>
    <t xml:space="preserve">Black formula cells</t>
  </si>
  <si>
    <t xml:space="preserve">Calculated automatically — do not overwrite (Unit Price, Line Total, Rank, etc.).</t>
  </si>
  <si>
    <t xml:space="preserve">Light red rows (Inventory Tracker)</t>
  </si>
  <si>
    <t xml:space="preserve">Products at or below their Reorder Level.</t>
  </si>
  <si>
    <t xml:space="preserve">Light green / yellow / light red rows (Order Tracker)</t>
  </si>
  <si>
    <t xml:space="preserve">Delivered / Pending / Cancelled orders, color-coded automatically.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</si>
</sst>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mm/dd/yyyy"/>
    <numFmt numFmtId="168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20"/>
      <color rgb="FF2F52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F52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2"/>
      <color rgb="FFC9DFC2"/>
      <name val="Arial"/>
      <family val="0"/>
      <charset val="1"/>
    </font>
    <font>
      <b val="true"/>
      <sz val="9"/>
      <color rgb="FF1F3B21"/>
      <name val="Arial"/>
      <family val="0"/>
      <charset val="1"/>
    </font>
    <font>
      <b val="true"/>
      <sz val="16"/>
      <color rgb="FF1F3B2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1F3B21"/>
      </patternFill>
    </fill>
    <fill>
      <patternFill patternType="solid">
        <fgColor rgb="FFFFFDE7"/>
        <bgColor rgb="FFFFFFFF"/>
      </patternFill>
    </fill>
    <fill>
      <patternFill patternType="solid">
        <fgColor rgb="FFDCEAD5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2F52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DEEEE"/>
        </patternFill>
      </fill>
    </dxf>
    <dxf>
      <fill>
        <patternFill>
          <bgColor rgb="FFEAF7EC"/>
        </patternFill>
      </fill>
    </dxf>
    <dxf>
      <fill>
        <patternFill>
          <bgColor rgb="FFFFFD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DE7"/>
      <rgbColor rgb="FFEAF7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EEE"/>
      <rgbColor rgb="FFDCEAD5"/>
      <rgbColor rgb="FFFFFF99"/>
      <rgbColor rgb="FF99CCFF"/>
      <rgbColor rgb="FFFF99CC"/>
      <rgbColor rgb="FFCC99FF"/>
      <rgbColor rgb="FFC9DFC2"/>
      <rgbColor rgb="FF4F81BD"/>
      <rgbColor rgb="FF4BACC6"/>
      <rgbColor rgb="FF9BBB59"/>
      <rgbColor rgb="FFFFCC00"/>
      <rgbColor rgb="FFFF9900"/>
      <rgbColor rgb="FFFF6600"/>
      <rgbColor rgb="FF8064A2"/>
      <rgbColor rgb="FF888888"/>
      <rgbColor rgb="FF003366"/>
      <rgbColor rgb="FF339966"/>
      <rgbColor rgb="FF003300"/>
      <rgbColor rgb="FF2F5233"/>
      <rgbColor rgb="FF993300"/>
      <rgbColor rgb="FF993366"/>
      <rgbColor rgb="FF555555"/>
      <rgbColor rgb="FF1F3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'Sales Dashboard'!$A$11:$A$15</c:f>
              <c:strCache>
                <c:ptCount val="5"/>
                <c:pt idx="0">
                  <c:v>Pending</c:v>
                </c:pt>
                <c:pt idx="1">
                  <c:v>In Production</c:v>
                </c:pt>
                <c:pt idx="2">
                  <c:v>Shipped</c:v>
                </c:pt>
                <c:pt idx="3">
                  <c:v>Delivered</c:v>
                </c:pt>
                <c:pt idx="4">
                  <c:v>Cancelled</c:v>
                </c:pt>
              </c:strCache>
            </c:strRef>
          </c:cat>
          <c:val>
            <c:numRef>
              <c:f>'Sales Dashboard'!$B$11:$B$15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 — Selected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Dashboard'!B19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Dashboard'!$A$20:$A$31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Dashboard'!$B$20:$B$31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0368281"/>
        <c:axId val="95250689"/>
      </c:barChart>
      <c:catAx>
        <c:axId val="803682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50689"/>
        <c:crosses val="autoZero"/>
        <c:auto val="1"/>
        <c:lblAlgn val="ctr"/>
        <c:lblOffset val="100"/>
        <c:noMultiLvlLbl val="0"/>
      </c:catAx>
      <c:valAx>
        <c:axId val="95250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682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'Sales Dashboard'!C35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Dashboard'!$B$36:$B$40</c:f>
              <c:strCache>
                <c:ptCount val="5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</c:strCache>
            </c:strRef>
          </c:cat>
          <c:val>
            <c:numRef>
              <c:f>'Sales Dashboard'!$C$36:$C$40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90601526"/>
        <c:axId val="13102782"/>
      </c:barChart>
      <c:catAx>
        <c:axId val="90601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02782"/>
        <c:crosses val="autoZero"/>
        <c:auto val="1"/>
        <c:lblAlgn val="ctr"/>
        <c:lblOffset val="100"/>
        <c:noMultiLvlLbl val="0"/>
      </c:catAx>
      <c:valAx>
        <c:axId val="13102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01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'Customer Insights'!C10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'Customer Insights'!$B$11:$B$20</c:f>
              <c:strCach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'Customer Insights'!$C$11:$C$20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4596900"/>
        <c:axId val="94623711"/>
      </c:barChart>
      <c:catAx>
        <c:axId val="45969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23711"/>
        <c:crosses val="autoZero"/>
        <c:auto val="1"/>
        <c:lblAlgn val="ctr"/>
        <c:lblOffset val="100"/>
        <c:noMultiLvlLbl val="0"/>
      </c:catAx>
      <c:valAx>
        <c:axId val="94623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69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6</xdr:col>
      <xdr:colOff>659520</xdr:colOff>
      <xdr:row>22</xdr:row>
      <xdr:rowOff>32400</xdr:rowOff>
    </xdr:to>
    <xdr:graphicFrame>
      <xdr:nvGraphicFramePr>
        <xdr:cNvPr id="0" name="Chart 1"/>
        <xdr:cNvGraphicFramePr/>
      </xdr:nvGraphicFramePr>
      <xdr:xfrm>
        <a:off x="4267080" y="210492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9</xdr:col>
      <xdr:colOff>542880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4267080" y="38196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33</xdr:row>
      <xdr:rowOff>0</xdr:rowOff>
    </xdr:from>
    <xdr:to>
      <xdr:col>10</xdr:col>
      <xdr:colOff>486360</xdr:colOff>
      <xdr:row>47</xdr:row>
      <xdr:rowOff>32400</xdr:rowOff>
    </xdr:to>
    <xdr:graphicFrame>
      <xdr:nvGraphicFramePr>
        <xdr:cNvPr id="2" name="Chart 3"/>
        <xdr:cNvGraphicFramePr/>
      </xdr:nvGraphicFramePr>
      <xdr:xfrm>
        <a:off x="5689440" y="686736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8</xdr:row>
      <xdr:rowOff>0</xdr:rowOff>
    </xdr:from>
    <xdr:to>
      <xdr:col>12</xdr:col>
      <xdr:colOff>447840</xdr:colOff>
      <xdr:row>22</xdr:row>
      <xdr:rowOff>32400</xdr:rowOff>
    </xdr:to>
    <xdr:graphicFrame>
      <xdr:nvGraphicFramePr>
        <xdr:cNvPr id="3" name="Chart 1"/>
        <xdr:cNvGraphicFramePr/>
      </xdr:nvGraphicFramePr>
      <xdr:xfrm>
        <a:off x="7159680" y="21049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27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27.7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27.7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27.75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0" customFormat="false" ht="27.75" hidden="false" customHeight="true" outlineLevel="0" collapsed="false">
      <c r="A10" s="2" t="s">
        <v>7</v>
      </c>
      <c r="B10" s="2"/>
      <c r="C10" s="2"/>
      <c r="D10" s="2"/>
      <c r="E10" s="2"/>
      <c r="F10" s="2"/>
      <c r="G10" s="2"/>
      <c r="H10" s="2"/>
    </row>
    <row r="11" customFormat="false" ht="27.75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3" customFormat="false" ht="15" hidden="false" customHeight="false" outlineLevel="0" collapsed="false">
      <c r="A13" s="3" t="s">
        <v>9</v>
      </c>
      <c r="B13" s="3"/>
      <c r="C13" s="3"/>
      <c r="D13" s="3"/>
      <c r="E13" s="3"/>
      <c r="F13" s="3"/>
      <c r="G13" s="3"/>
      <c r="H13" s="3"/>
    </row>
  </sheetData>
  <mergeCells count="10">
    <mergeCell ref="A1:H1"/>
    <mergeCell ref="A4:H4"/>
    <mergeCell ref="A5:H5"/>
    <mergeCell ref="A6:H6"/>
    <mergeCell ref="A7:H7"/>
    <mergeCell ref="A8:H8"/>
    <mergeCell ref="A9:H9"/>
    <mergeCell ref="A10:H10"/>
    <mergeCell ref="A11:H11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8"/>
  </cols>
  <sheetData>
    <row r="1" customFormat="false" ht="16.15" hidden="false" customHeight="fals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11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12</v>
      </c>
      <c r="B3" s="5" t="s">
        <v>13</v>
      </c>
    </row>
    <row r="4" customFormat="false" ht="15" hidden="false" customHeight="false" outlineLevel="0" collapsed="false">
      <c r="A4" s="6" t="s">
        <v>14</v>
      </c>
      <c r="B4" s="7" t="s">
        <v>15</v>
      </c>
    </row>
    <row r="5" customFormat="false" ht="15" hidden="false" customHeight="false" outlineLevel="0" collapsed="false">
      <c r="A5" s="6" t="s">
        <v>16</v>
      </c>
      <c r="B5" s="8" t="n">
        <v>0.1</v>
      </c>
    </row>
    <row r="6" customFormat="false" ht="15" hidden="false" customHeight="false" outlineLevel="0" collapsed="false">
      <c r="A6" s="6" t="s">
        <v>17</v>
      </c>
      <c r="B6" s="7" t="s">
        <v>18</v>
      </c>
    </row>
    <row r="8" customFormat="false" ht="15" hidden="false" customHeight="false" outlineLevel="0" collapsed="false">
      <c r="A8" s="6" t="s">
        <v>19</v>
      </c>
      <c r="C8" s="6" t="s">
        <v>20</v>
      </c>
      <c r="D8" s="6" t="s">
        <v>21</v>
      </c>
    </row>
    <row r="9" customFormat="false" ht="15" hidden="false" customHeight="false" outlineLevel="0" collapsed="false">
      <c r="A9" s="9" t="s">
        <v>22</v>
      </c>
      <c r="C9" s="9" t="s">
        <v>23</v>
      </c>
      <c r="D9" s="9" t="s">
        <v>24</v>
      </c>
    </row>
    <row r="10" customFormat="false" ht="15" hidden="false" customHeight="false" outlineLevel="0" collapsed="false">
      <c r="A10" s="9" t="s">
        <v>25</v>
      </c>
      <c r="C10" s="9" t="s">
        <v>26</v>
      </c>
      <c r="D10" s="9" t="s">
        <v>27</v>
      </c>
    </row>
    <row r="11" customFormat="false" ht="15" hidden="false" customHeight="false" outlineLevel="0" collapsed="false">
      <c r="A11" s="9" t="s">
        <v>28</v>
      </c>
      <c r="C11" s="9" t="s">
        <v>29</v>
      </c>
      <c r="D11" s="9" t="s">
        <v>30</v>
      </c>
    </row>
    <row r="12" customFormat="false" ht="15" hidden="false" customHeight="false" outlineLevel="0" collapsed="false">
      <c r="A12" s="9" t="s">
        <v>31</v>
      </c>
      <c r="C12" s="9" t="s">
        <v>32</v>
      </c>
    </row>
    <row r="13" customFormat="false" ht="15" hidden="false" customHeight="false" outlineLevel="0" collapsed="false">
      <c r="A13" s="9" t="s">
        <v>33</v>
      </c>
      <c r="C13" s="9" t="s">
        <v>34</v>
      </c>
    </row>
    <row r="14" customFormat="false" ht="15" hidden="false" customHeight="false" outlineLevel="0" collapsed="false">
      <c r="A14" s="9" t="s">
        <v>35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85" hidden="false" customHeight="false" outlineLevel="0" collapsed="false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  <c r="J2" s="10" t="s">
        <v>46</v>
      </c>
      <c r="K2" s="10" t="s">
        <v>47</v>
      </c>
    </row>
    <row r="3" customFormat="false" ht="15" hidden="false" customHeight="false" outlineLevel="0" collapsed="false">
      <c r="A3" s="11" t="str">
        <f aca="false">IF(B3="","",ROW()-3+1)</f>
        <v/>
      </c>
      <c r="B3" s="11"/>
      <c r="C3" s="11"/>
      <c r="D3" s="11"/>
      <c r="E3" s="11"/>
      <c r="F3" s="11" t="str">
        <f aca="false">IF(B3="","",COUNTIFS('Order Tracker'!$E$3:$E$102,B3,'Order Tracker'!$B$3:$B$102,1))</f>
        <v/>
      </c>
      <c r="G3" s="12" t="str">
        <f aca="false">IF(B3="","",SUMIFS('Order Tracker'!$I$3:$I$102,'Order Tracker'!$E$3:$E$102,B3))</f>
        <v/>
      </c>
      <c r="H3" s="13" t="str">
        <f aca="false">IF(B3="","",IFERROR(_xlfn.MAXIFS('Order Tracker'!$D$3:$D$102,'Order Tracker'!$E$3:$E$102,B3),""))</f>
        <v/>
      </c>
      <c r="I3" s="13"/>
      <c r="J3" s="11"/>
      <c r="K3" s="11" t="str">
        <f aca="false">IF(B3="","",RANK(G3,$G$3:$G$52)+COUNTIF($G$3:G3,G3)-1)</f>
        <v/>
      </c>
    </row>
    <row r="4" customFormat="false" ht="15" hidden="false" customHeight="false" outlineLevel="0" collapsed="false">
      <c r="A4" s="11" t="str">
        <f aca="false">IF(B4="","",ROW()-3+1)</f>
        <v/>
      </c>
      <c r="B4" s="11"/>
      <c r="C4" s="11"/>
      <c r="D4" s="11"/>
      <c r="E4" s="11"/>
      <c r="F4" s="11" t="str">
        <f aca="false">IF(B4="","",COUNTIFS('Order Tracker'!$E$3:$E$102,B4,'Order Tracker'!$B$3:$B$102,1))</f>
        <v/>
      </c>
      <c r="G4" s="12" t="str">
        <f aca="false">IF(B4="","",SUMIFS('Order Tracker'!$I$3:$I$102,'Order Tracker'!$E$3:$E$102,B4))</f>
        <v/>
      </c>
      <c r="H4" s="13" t="str">
        <f aca="false">IF(B4="","",IFERROR(_xlfn.MAXIFS('Order Tracker'!$D$3:$D$102,'Order Tracker'!$E$3:$E$102,B4),""))</f>
        <v/>
      </c>
      <c r="I4" s="13"/>
      <c r="J4" s="11"/>
      <c r="K4" s="11" t="str">
        <f aca="false">IF(B4="","",RANK(G4,$G$3:$G$52)+COUNTIF($G$3:G4,G4)-1)</f>
        <v/>
      </c>
    </row>
    <row r="5" customFormat="false" ht="15" hidden="false" customHeight="false" outlineLevel="0" collapsed="false">
      <c r="A5" s="11" t="str">
        <f aca="false">IF(B5="","",ROW()-3+1)</f>
        <v/>
      </c>
      <c r="B5" s="11"/>
      <c r="C5" s="11"/>
      <c r="D5" s="11"/>
      <c r="E5" s="11"/>
      <c r="F5" s="11" t="str">
        <f aca="false">IF(B5="","",COUNTIFS('Order Tracker'!$E$3:$E$102,B5,'Order Tracker'!$B$3:$B$102,1))</f>
        <v/>
      </c>
      <c r="G5" s="12" t="str">
        <f aca="false">IF(B5="","",SUMIFS('Order Tracker'!$I$3:$I$102,'Order Tracker'!$E$3:$E$102,B5))</f>
        <v/>
      </c>
      <c r="H5" s="13" t="str">
        <f aca="false">IF(B5="","",IFERROR(_xlfn.MAXIFS('Order Tracker'!$D$3:$D$102,'Order Tracker'!$E$3:$E$102,B5),""))</f>
        <v/>
      </c>
      <c r="I5" s="13"/>
      <c r="J5" s="11"/>
      <c r="K5" s="11" t="str">
        <f aca="false">IF(B5="","",RANK(G5,$G$3:$G$52)+COUNTIF($G$3:G5,G5)-1)</f>
        <v/>
      </c>
    </row>
    <row r="6" customFormat="false" ht="15" hidden="false" customHeight="false" outlineLevel="0" collapsed="false">
      <c r="A6" s="11" t="str">
        <f aca="false">IF(B6="","",ROW()-3+1)</f>
        <v/>
      </c>
      <c r="B6" s="11"/>
      <c r="C6" s="11"/>
      <c r="D6" s="11"/>
      <c r="E6" s="11"/>
      <c r="F6" s="11" t="str">
        <f aca="false">IF(B6="","",COUNTIFS('Order Tracker'!$E$3:$E$102,B6,'Order Tracker'!$B$3:$B$102,1))</f>
        <v/>
      </c>
      <c r="G6" s="12" t="str">
        <f aca="false">IF(B6="","",SUMIFS('Order Tracker'!$I$3:$I$102,'Order Tracker'!$E$3:$E$102,B6))</f>
        <v/>
      </c>
      <c r="H6" s="13" t="str">
        <f aca="false">IF(B6="","",IFERROR(_xlfn.MAXIFS('Order Tracker'!$D$3:$D$102,'Order Tracker'!$E$3:$E$102,B6),""))</f>
        <v/>
      </c>
      <c r="I6" s="13"/>
      <c r="J6" s="11"/>
      <c r="K6" s="11" t="str">
        <f aca="false">IF(B6="","",RANK(G6,$G$3:$G$52)+COUNTIF($G$3:G6,G6)-1)</f>
        <v/>
      </c>
    </row>
    <row r="7" customFormat="false" ht="15" hidden="false" customHeight="false" outlineLevel="0" collapsed="false">
      <c r="A7" s="11" t="str">
        <f aca="false">IF(B7="","",ROW()-3+1)</f>
        <v/>
      </c>
      <c r="B7" s="11"/>
      <c r="C7" s="11"/>
      <c r="D7" s="11"/>
      <c r="E7" s="11"/>
      <c r="F7" s="11" t="str">
        <f aca="false">IF(B7="","",COUNTIFS('Order Tracker'!$E$3:$E$102,B7,'Order Tracker'!$B$3:$B$102,1))</f>
        <v/>
      </c>
      <c r="G7" s="12" t="str">
        <f aca="false">IF(B7="","",SUMIFS('Order Tracker'!$I$3:$I$102,'Order Tracker'!$E$3:$E$102,B7))</f>
        <v/>
      </c>
      <c r="H7" s="13" t="str">
        <f aca="false">IF(B7="","",IFERROR(_xlfn.MAXIFS('Order Tracker'!$D$3:$D$102,'Order Tracker'!$E$3:$E$102,B7),""))</f>
        <v/>
      </c>
      <c r="I7" s="13"/>
      <c r="J7" s="11"/>
      <c r="K7" s="11" t="str">
        <f aca="false">IF(B7="","",RANK(G7,$G$3:$G$52)+COUNTIF($G$3:G7,G7)-1)</f>
        <v/>
      </c>
    </row>
    <row r="8" customFormat="false" ht="15" hidden="false" customHeight="false" outlineLevel="0" collapsed="false">
      <c r="A8" s="11" t="str">
        <f aca="false">IF(B8="","",ROW()-3+1)</f>
        <v/>
      </c>
      <c r="B8" s="11"/>
      <c r="C8" s="11"/>
      <c r="D8" s="11"/>
      <c r="E8" s="11"/>
      <c r="F8" s="11" t="str">
        <f aca="false">IF(B8="","",COUNTIFS('Order Tracker'!$E$3:$E$102,B8,'Order Tracker'!$B$3:$B$102,1))</f>
        <v/>
      </c>
      <c r="G8" s="12" t="str">
        <f aca="false">IF(B8="","",SUMIFS('Order Tracker'!$I$3:$I$102,'Order Tracker'!$E$3:$E$102,B8))</f>
        <v/>
      </c>
      <c r="H8" s="13" t="str">
        <f aca="false">IF(B8="","",IFERROR(_xlfn.MAXIFS('Order Tracker'!$D$3:$D$102,'Order Tracker'!$E$3:$E$102,B8),""))</f>
        <v/>
      </c>
      <c r="I8" s="13"/>
      <c r="J8" s="11"/>
      <c r="K8" s="11" t="str">
        <f aca="false">IF(B8="","",RANK(G8,$G$3:$G$52)+COUNTIF($G$3:G8,G8)-1)</f>
        <v/>
      </c>
    </row>
    <row r="9" customFormat="false" ht="15" hidden="false" customHeight="false" outlineLevel="0" collapsed="false">
      <c r="A9" s="11" t="str">
        <f aca="false">IF(B9="","",ROW()-3+1)</f>
        <v/>
      </c>
      <c r="B9" s="11"/>
      <c r="C9" s="11"/>
      <c r="D9" s="11"/>
      <c r="E9" s="11"/>
      <c r="F9" s="11" t="str">
        <f aca="false">IF(B9="","",COUNTIFS('Order Tracker'!$E$3:$E$102,B9,'Order Tracker'!$B$3:$B$102,1))</f>
        <v/>
      </c>
      <c r="G9" s="12" t="str">
        <f aca="false">IF(B9="","",SUMIFS('Order Tracker'!$I$3:$I$102,'Order Tracker'!$E$3:$E$102,B9))</f>
        <v/>
      </c>
      <c r="H9" s="13" t="str">
        <f aca="false">IF(B9="","",IFERROR(_xlfn.MAXIFS('Order Tracker'!$D$3:$D$102,'Order Tracker'!$E$3:$E$102,B9),""))</f>
        <v/>
      </c>
      <c r="I9" s="13"/>
      <c r="J9" s="11"/>
      <c r="K9" s="11" t="str">
        <f aca="false">IF(B9="","",RANK(G9,$G$3:$G$52)+COUNTIF($G$3:G9,G9)-1)</f>
        <v/>
      </c>
    </row>
    <row r="10" customFormat="false" ht="15" hidden="false" customHeight="false" outlineLevel="0" collapsed="false">
      <c r="A10" s="11" t="str">
        <f aca="false">IF(B10="","",ROW()-3+1)</f>
        <v/>
      </c>
      <c r="B10" s="11"/>
      <c r="C10" s="11"/>
      <c r="D10" s="11"/>
      <c r="E10" s="11"/>
      <c r="F10" s="11" t="str">
        <f aca="false">IF(B10="","",COUNTIFS('Order Tracker'!$E$3:$E$102,B10,'Order Tracker'!$B$3:$B$102,1))</f>
        <v/>
      </c>
      <c r="G10" s="12" t="str">
        <f aca="false">IF(B10="","",SUMIFS('Order Tracker'!$I$3:$I$102,'Order Tracker'!$E$3:$E$102,B10))</f>
        <v/>
      </c>
      <c r="H10" s="13" t="str">
        <f aca="false">IF(B10="","",IFERROR(_xlfn.MAXIFS('Order Tracker'!$D$3:$D$102,'Order Tracker'!$E$3:$E$102,B10),""))</f>
        <v/>
      </c>
      <c r="I10" s="13"/>
      <c r="J10" s="11"/>
      <c r="K10" s="11" t="str">
        <f aca="false">IF(B10="","",RANK(G10,$G$3:$G$52)+COUNTIF($G$3:G10,G10)-1)</f>
        <v/>
      </c>
    </row>
    <row r="11" customFormat="false" ht="15" hidden="false" customHeight="false" outlineLevel="0" collapsed="false">
      <c r="A11" s="11" t="str">
        <f aca="false">IF(B11="","",ROW()-3+1)</f>
        <v/>
      </c>
      <c r="B11" s="11"/>
      <c r="C11" s="11"/>
      <c r="D11" s="11"/>
      <c r="E11" s="11"/>
      <c r="F11" s="11" t="str">
        <f aca="false">IF(B11="","",COUNTIFS('Order Tracker'!$E$3:$E$102,B11,'Order Tracker'!$B$3:$B$102,1))</f>
        <v/>
      </c>
      <c r="G11" s="12" t="str">
        <f aca="false">IF(B11="","",SUMIFS('Order Tracker'!$I$3:$I$102,'Order Tracker'!$E$3:$E$102,B11))</f>
        <v/>
      </c>
      <c r="H11" s="13" t="str">
        <f aca="false">IF(B11="","",IFERROR(_xlfn.MAXIFS('Order Tracker'!$D$3:$D$102,'Order Tracker'!$E$3:$E$102,B11),""))</f>
        <v/>
      </c>
      <c r="I11" s="13"/>
      <c r="J11" s="11"/>
      <c r="K11" s="11" t="str">
        <f aca="false">IF(B11="","",RANK(G11,$G$3:$G$52)+COUNTIF($G$3:G11,G11)-1)</f>
        <v/>
      </c>
    </row>
    <row r="12" customFormat="false" ht="15" hidden="false" customHeight="false" outlineLevel="0" collapsed="false">
      <c r="A12" s="11" t="str">
        <f aca="false">IF(B12="","",ROW()-3+1)</f>
        <v/>
      </c>
      <c r="B12" s="11"/>
      <c r="C12" s="11"/>
      <c r="D12" s="11"/>
      <c r="E12" s="11"/>
      <c r="F12" s="11" t="str">
        <f aca="false">IF(B12="","",COUNTIFS('Order Tracker'!$E$3:$E$102,B12,'Order Tracker'!$B$3:$B$102,1))</f>
        <v/>
      </c>
      <c r="G12" s="12" t="str">
        <f aca="false">IF(B12="","",SUMIFS('Order Tracker'!$I$3:$I$102,'Order Tracker'!$E$3:$E$102,B12))</f>
        <v/>
      </c>
      <c r="H12" s="13" t="str">
        <f aca="false">IF(B12="","",IFERROR(_xlfn.MAXIFS('Order Tracker'!$D$3:$D$102,'Order Tracker'!$E$3:$E$102,B12),""))</f>
        <v/>
      </c>
      <c r="I12" s="13"/>
      <c r="J12" s="11"/>
      <c r="K12" s="11" t="str">
        <f aca="false">IF(B12="","",RANK(G12,$G$3:$G$52)+COUNTIF($G$3:G12,G12)-1)</f>
        <v/>
      </c>
    </row>
    <row r="13" customFormat="false" ht="15" hidden="false" customHeight="false" outlineLevel="0" collapsed="false">
      <c r="A13" s="11" t="str">
        <f aca="false">IF(B13="","",ROW()-3+1)</f>
        <v/>
      </c>
      <c r="B13" s="11"/>
      <c r="C13" s="11"/>
      <c r="D13" s="11"/>
      <c r="E13" s="11"/>
      <c r="F13" s="11" t="str">
        <f aca="false">IF(B13="","",COUNTIFS('Order Tracker'!$E$3:$E$102,B13,'Order Tracker'!$B$3:$B$102,1))</f>
        <v/>
      </c>
      <c r="G13" s="12" t="str">
        <f aca="false">IF(B13="","",SUMIFS('Order Tracker'!$I$3:$I$102,'Order Tracker'!$E$3:$E$102,B13))</f>
        <v/>
      </c>
      <c r="H13" s="13" t="str">
        <f aca="false">IF(B13="","",IFERROR(_xlfn.MAXIFS('Order Tracker'!$D$3:$D$102,'Order Tracker'!$E$3:$E$102,B13),""))</f>
        <v/>
      </c>
      <c r="I13" s="13"/>
      <c r="J13" s="11"/>
      <c r="K13" s="11" t="str">
        <f aca="false">IF(B13="","",RANK(G13,$G$3:$G$52)+COUNTIF($G$3:G13,G13)-1)</f>
        <v/>
      </c>
    </row>
    <row r="14" customFormat="false" ht="15" hidden="false" customHeight="false" outlineLevel="0" collapsed="false">
      <c r="A14" s="11" t="str">
        <f aca="false">IF(B14="","",ROW()-3+1)</f>
        <v/>
      </c>
      <c r="B14" s="11"/>
      <c r="C14" s="11"/>
      <c r="D14" s="11"/>
      <c r="E14" s="11"/>
      <c r="F14" s="11" t="str">
        <f aca="false">IF(B14="","",COUNTIFS('Order Tracker'!$E$3:$E$102,B14,'Order Tracker'!$B$3:$B$102,1))</f>
        <v/>
      </c>
      <c r="G14" s="12" t="str">
        <f aca="false">IF(B14="","",SUMIFS('Order Tracker'!$I$3:$I$102,'Order Tracker'!$E$3:$E$102,B14))</f>
        <v/>
      </c>
      <c r="H14" s="13" t="str">
        <f aca="false">IF(B14="","",IFERROR(_xlfn.MAXIFS('Order Tracker'!$D$3:$D$102,'Order Tracker'!$E$3:$E$102,B14),""))</f>
        <v/>
      </c>
      <c r="I14" s="13"/>
      <c r="J14" s="11"/>
      <c r="K14" s="11" t="str">
        <f aca="false">IF(B14="","",RANK(G14,$G$3:$G$52)+COUNTIF($G$3:G14,G14)-1)</f>
        <v/>
      </c>
    </row>
    <row r="15" customFormat="false" ht="15" hidden="false" customHeight="false" outlineLevel="0" collapsed="false">
      <c r="A15" s="11" t="str">
        <f aca="false">IF(B15="","",ROW()-3+1)</f>
        <v/>
      </c>
      <c r="B15" s="11"/>
      <c r="C15" s="11"/>
      <c r="D15" s="11"/>
      <c r="E15" s="11"/>
      <c r="F15" s="11" t="str">
        <f aca="false">IF(B15="","",COUNTIFS('Order Tracker'!$E$3:$E$102,B15,'Order Tracker'!$B$3:$B$102,1))</f>
        <v/>
      </c>
      <c r="G15" s="12" t="str">
        <f aca="false">IF(B15="","",SUMIFS('Order Tracker'!$I$3:$I$102,'Order Tracker'!$E$3:$E$102,B15))</f>
        <v/>
      </c>
      <c r="H15" s="13" t="str">
        <f aca="false">IF(B15="","",IFERROR(_xlfn.MAXIFS('Order Tracker'!$D$3:$D$102,'Order Tracker'!$E$3:$E$102,B15),""))</f>
        <v/>
      </c>
      <c r="I15" s="13"/>
      <c r="J15" s="11"/>
      <c r="K15" s="11" t="str">
        <f aca="false">IF(B15="","",RANK(G15,$G$3:$G$52)+COUNTIF($G$3:G15,G15)-1)</f>
        <v/>
      </c>
    </row>
    <row r="16" customFormat="false" ht="15" hidden="false" customHeight="false" outlineLevel="0" collapsed="false">
      <c r="A16" s="11" t="str">
        <f aca="false">IF(B16="","",ROW()-3+1)</f>
        <v/>
      </c>
      <c r="B16" s="11"/>
      <c r="C16" s="11"/>
      <c r="D16" s="11"/>
      <c r="E16" s="11"/>
      <c r="F16" s="11" t="str">
        <f aca="false">IF(B16="","",COUNTIFS('Order Tracker'!$E$3:$E$102,B16,'Order Tracker'!$B$3:$B$102,1))</f>
        <v/>
      </c>
      <c r="G16" s="12" t="str">
        <f aca="false">IF(B16="","",SUMIFS('Order Tracker'!$I$3:$I$102,'Order Tracker'!$E$3:$E$102,B16))</f>
        <v/>
      </c>
      <c r="H16" s="13" t="str">
        <f aca="false">IF(B16="","",IFERROR(_xlfn.MAXIFS('Order Tracker'!$D$3:$D$102,'Order Tracker'!$E$3:$E$102,B16),""))</f>
        <v/>
      </c>
      <c r="I16" s="13"/>
      <c r="J16" s="11"/>
      <c r="K16" s="11" t="str">
        <f aca="false">IF(B16="","",RANK(G16,$G$3:$G$52)+COUNTIF($G$3:G16,G16)-1)</f>
        <v/>
      </c>
    </row>
    <row r="17" customFormat="false" ht="15" hidden="false" customHeight="false" outlineLevel="0" collapsed="false">
      <c r="A17" s="11" t="str">
        <f aca="false">IF(B17="","",ROW()-3+1)</f>
        <v/>
      </c>
      <c r="B17" s="11"/>
      <c r="C17" s="11"/>
      <c r="D17" s="11"/>
      <c r="E17" s="11"/>
      <c r="F17" s="11" t="str">
        <f aca="false">IF(B17="","",COUNTIFS('Order Tracker'!$E$3:$E$102,B17,'Order Tracker'!$B$3:$B$102,1))</f>
        <v/>
      </c>
      <c r="G17" s="12" t="str">
        <f aca="false">IF(B17="","",SUMIFS('Order Tracker'!$I$3:$I$102,'Order Tracker'!$E$3:$E$102,B17))</f>
        <v/>
      </c>
      <c r="H17" s="13" t="str">
        <f aca="false">IF(B17="","",IFERROR(_xlfn.MAXIFS('Order Tracker'!$D$3:$D$102,'Order Tracker'!$E$3:$E$102,B17),""))</f>
        <v/>
      </c>
      <c r="I17" s="13"/>
      <c r="J17" s="11"/>
      <c r="K17" s="11" t="str">
        <f aca="false">IF(B17="","",RANK(G17,$G$3:$G$52)+COUNTIF($G$3:G17,G17)-1)</f>
        <v/>
      </c>
    </row>
    <row r="18" customFormat="false" ht="15" hidden="false" customHeight="false" outlineLevel="0" collapsed="false">
      <c r="A18" s="11" t="str">
        <f aca="false">IF(B18="","",ROW()-3+1)</f>
        <v/>
      </c>
      <c r="B18" s="11"/>
      <c r="C18" s="11"/>
      <c r="D18" s="11"/>
      <c r="E18" s="11"/>
      <c r="F18" s="11" t="str">
        <f aca="false">IF(B18="","",COUNTIFS('Order Tracker'!$E$3:$E$102,B18,'Order Tracker'!$B$3:$B$102,1))</f>
        <v/>
      </c>
      <c r="G18" s="12" t="str">
        <f aca="false">IF(B18="","",SUMIFS('Order Tracker'!$I$3:$I$102,'Order Tracker'!$E$3:$E$102,B18))</f>
        <v/>
      </c>
      <c r="H18" s="13" t="str">
        <f aca="false">IF(B18="","",IFERROR(_xlfn.MAXIFS('Order Tracker'!$D$3:$D$102,'Order Tracker'!$E$3:$E$102,B18),""))</f>
        <v/>
      </c>
      <c r="I18" s="13"/>
      <c r="J18" s="11"/>
      <c r="K18" s="11" t="str">
        <f aca="false">IF(B18="","",RANK(G18,$G$3:$G$52)+COUNTIF($G$3:G18,G18)-1)</f>
        <v/>
      </c>
    </row>
    <row r="19" customFormat="false" ht="15" hidden="false" customHeight="false" outlineLevel="0" collapsed="false">
      <c r="A19" s="11" t="str">
        <f aca="false">IF(B19="","",ROW()-3+1)</f>
        <v/>
      </c>
      <c r="B19" s="11"/>
      <c r="C19" s="11"/>
      <c r="D19" s="11"/>
      <c r="E19" s="11"/>
      <c r="F19" s="11" t="str">
        <f aca="false">IF(B19="","",COUNTIFS('Order Tracker'!$E$3:$E$102,B19,'Order Tracker'!$B$3:$B$102,1))</f>
        <v/>
      </c>
      <c r="G19" s="12" t="str">
        <f aca="false">IF(B19="","",SUMIFS('Order Tracker'!$I$3:$I$102,'Order Tracker'!$E$3:$E$102,B19))</f>
        <v/>
      </c>
      <c r="H19" s="13" t="str">
        <f aca="false">IF(B19="","",IFERROR(_xlfn.MAXIFS('Order Tracker'!$D$3:$D$102,'Order Tracker'!$E$3:$E$102,B19),""))</f>
        <v/>
      </c>
      <c r="I19" s="13"/>
      <c r="J19" s="11"/>
      <c r="K19" s="11" t="str">
        <f aca="false">IF(B19="","",RANK(G19,$G$3:$G$52)+COUNTIF($G$3:G19,G19)-1)</f>
        <v/>
      </c>
    </row>
    <row r="20" customFormat="false" ht="15" hidden="false" customHeight="false" outlineLevel="0" collapsed="false">
      <c r="A20" s="11" t="str">
        <f aca="false">IF(B20="","",ROW()-3+1)</f>
        <v/>
      </c>
      <c r="B20" s="11"/>
      <c r="C20" s="11"/>
      <c r="D20" s="11"/>
      <c r="E20" s="11"/>
      <c r="F20" s="11" t="str">
        <f aca="false">IF(B20="","",COUNTIFS('Order Tracker'!$E$3:$E$102,B20,'Order Tracker'!$B$3:$B$102,1))</f>
        <v/>
      </c>
      <c r="G20" s="12" t="str">
        <f aca="false">IF(B20="","",SUMIFS('Order Tracker'!$I$3:$I$102,'Order Tracker'!$E$3:$E$102,B20))</f>
        <v/>
      </c>
      <c r="H20" s="13" t="str">
        <f aca="false">IF(B20="","",IFERROR(_xlfn.MAXIFS('Order Tracker'!$D$3:$D$102,'Order Tracker'!$E$3:$E$102,B20),""))</f>
        <v/>
      </c>
      <c r="I20" s="13"/>
      <c r="J20" s="11"/>
      <c r="K20" s="11" t="str">
        <f aca="false">IF(B20="","",RANK(G20,$G$3:$G$52)+COUNTIF($G$3:G20,G20)-1)</f>
        <v/>
      </c>
    </row>
    <row r="21" customFormat="false" ht="15" hidden="false" customHeight="false" outlineLevel="0" collapsed="false">
      <c r="A21" s="11" t="str">
        <f aca="false">IF(B21="","",ROW()-3+1)</f>
        <v/>
      </c>
      <c r="B21" s="11"/>
      <c r="C21" s="11"/>
      <c r="D21" s="11"/>
      <c r="E21" s="11"/>
      <c r="F21" s="11" t="str">
        <f aca="false">IF(B21="","",COUNTIFS('Order Tracker'!$E$3:$E$102,B21,'Order Tracker'!$B$3:$B$102,1))</f>
        <v/>
      </c>
      <c r="G21" s="12" t="str">
        <f aca="false">IF(B21="","",SUMIFS('Order Tracker'!$I$3:$I$102,'Order Tracker'!$E$3:$E$102,B21))</f>
        <v/>
      </c>
      <c r="H21" s="13" t="str">
        <f aca="false">IF(B21="","",IFERROR(_xlfn.MAXIFS('Order Tracker'!$D$3:$D$102,'Order Tracker'!$E$3:$E$102,B21),""))</f>
        <v/>
      </c>
      <c r="I21" s="13"/>
      <c r="J21" s="11"/>
      <c r="K21" s="11" t="str">
        <f aca="false">IF(B21="","",RANK(G21,$G$3:$G$52)+COUNTIF($G$3:G21,G21)-1)</f>
        <v/>
      </c>
    </row>
    <row r="22" customFormat="false" ht="15" hidden="false" customHeight="false" outlineLevel="0" collapsed="false">
      <c r="A22" s="11" t="str">
        <f aca="false">IF(B22="","",ROW()-3+1)</f>
        <v/>
      </c>
      <c r="B22" s="11"/>
      <c r="C22" s="11"/>
      <c r="D22" s="11"/>
      <c r="E22" s="11"/>
      <c r="F22" s="11" t="str">
        <f aca="false">IF(B22="","",COUNTIFS('Order Tracker'!$E$3:$E$102,B22,'Order Tracker'!$B$3:$B$102,1))</f>
        <v/>
      </c>
      <c r="G22" s="12" t="str">
        <f aca="false">IF(B22="","",SUMIFS('Order Tracker'!$I$3:$I$102,'Order Tracker'!$E$3:$E$102,B22))</f>
        <v/>
      </c>
      <c r="H22" s="13" t="str">
        <f aca="false">IF(B22="","",IFERROR(_xlfn.MAXIFS('Order Tracker'!$D$3:$D$102,'Order Tracker'!$E$3:$E$102,B22),""))</f>
        <v/>
      </c>
      <c r="I22" s="13"/>
      <c r="J22" s="11"/>
      <c r="K22" s="11" t="str">
        <f aca="false">IF(B22="","",RANK(G22,$G$3:$G$52)+COUNTIF($G$3:G22,G22)-1)</f>
        <v/>
      </c>
    </row>
    <row r="23" customFormat="false" ht="15" hidden="false" customHeight="false" outlineLevel="0" collapsed="false">
      <c r="A23" s="11" t="str">
        <f aca="false">IF(B23="","",ROW()-3+1)</f>
        <v/>
      </c>
      <c r="B23" s="11"/>
      <c r="C23" s="11"/>
      <c r="D23" s="11"/>
      <c r="E23" s="11"/>
      <c r="F23" s="11" t="str">
        <f aca="false">IF(B23="","",COUNTIFS('Order Tracker'!$E$3:$E$102,B23,'Order Tracker'!$B$3:$B$102,1))</f>
        <v/>
      </c>
      <c r="G23" s="12" t="str">
        <f aca="false">IF(B23="","",SUMIFS('Order Tracker'!$I$3:$I$102,'Order Tracker'!$E$3:$E$102,B23))</f>
        <v/>
      </c>
      <c r="H23" s="13" t="str">
        <f aca="false">IF(B23="","",IFERROR(_xlfn.MAXIFS('Order Tracker'!$D$3:$D$102,'Order Tracker'!$E$3:$E$102,B23),""))</f>
        <v/>
      </c>
      <c r="I23" s="13"/>
      <c r="J23" s="11"/>
      <c r="K23" s="11" t="str">
        <f aca="false">IF(B23="","",RANK(G23,$G$3:$G$52)+COUNTIF($G$3:G23,G23)-1)</f>
        <v/>
      </c>
    </row>
    <row r="24" customFormat="false" ht="15" hidden="false" customHeight="false" outlineLevel="0" collapsed="false">
      <c r="A24" s="11" t="str">
        <f aca="false">IF(B24="","",ROW()-3+1)</f>
        <v/>
      </c>
      <c r="B24" s="11"/>
      <c r="C24" s="11"/>
      <c r="D24" s="11"/>
      <c r="E24" s="11"/>
      <c r="F24" s="11" t="str">
        <f aca="false">IF(B24="","",COUNTIFS('Order Tracker'!$E$3:$E$102,B24,'Order Tracker'!$B$3:$B$102,1))</f>
        <v/>
      </c>
      <c r="G24" s="12" t="str">
        <f aca="false">IF(B24="","",SUMIFS('Order Tracker'!$I$3:$I$102,'Order Tracker'!$E$3:$E$102,B24))</f>
        <v/>
      </c>
      <c r="H24" s="13" t="str">
        <f aca="false">IF(B24="","",IFERROR(_xlfn.MAXIFS('Order Tracker'!$D$3:$D$102,'Order Tracker'!$E$3:$E$102,B24),""))</f>
        <v/>
      </c>
      <c r="I24" s="13"/>
      <c r="J24" s="11"/>
      <c r="K24" s="11" t="str">
        <f aca="false">IF(B24="","",RANK(G24,$G$3:$G$52)+COUNTIF($G$3:G24,G24)-1)</f>
        <v/>
      </c>
    </row>
    <row r="25" customFormat="false" ht="15" hidden="false" customHeight="false" outlineLevel="0" collapsed="false">
      <c r="A25" s="11" t="str">
        <f aca="false">IF(B25="","",ROW()-3+1)</f>
        <v/>
      </c>
      <c r="B25" s="11"/>
      <c r="C25" s="11"/>
      <c r="D25" s="11"/>
      <c r="E25" s="11"/>
      <c r="F25" s="11" t="str">
        <f aca="false">IF(B25="","",COUNTIFS('Order Tracker'!$E$3:$E$102,B25,'Order Tracker'!$B$3:$B$102,1))</f>
        <v/>
      </c>
      <c r="G25" s="12" t="str">
        <f aca="false">IF(B25="","",SUMIFS('Order Tracker'!$I$3:$I$102,'Order Tracker'!$E$3:$E$102,B25))</f>
        <v/>
      </c>
      <c r="H25" s="13" t="str">
        <f aca="false">IF(B25="","",IFERROR(_xlfn.MAXIFS('Order Tracker'!$D$3:$D$102,'Order Tracker'!$E$3:$E$102,B25),""))</f>
        <v/>
      </c>
      <c r="I25" s="13"/>
      <c r="J25" s="11"/>
      <c r="K25" s="11" t="str">
        <f aca="false">IF(B25="","",RANK(G25,$G$3:$G$52)+COUNTIF($G$3:G25,G25)-1)</f>
        <v/>
      </c>
    </row>
    <row r="26" customFormat="false" ht="15" hidden="false" customHeight="false" outlineLevel="0" collapsed="false">
      <c r="A26" s="11" t="str">
        <f aca="false">IF(B26="","",ROW()-3+1)</f>
        <v/>
      </c>
      <c r="B26" s="11"/>
      <c r="C26" s="11"/>
      <c r="D26" s="11"/>
      <c r="E26" s="11"/>
      <c r="F26" s="11" t="str">
        <f aca="false">IF(B26="","",COUNTIFS('Order Tracker'!$E$3:$E$102,B26,'Order Tracker'!$B$3:$B$102,1))</f>
        <v/>
      </c>
      <c r="G26" s="12" t="str">
        <f aca="false">IF(B26="","",SUMIFS('Order Tracker'!$I$3:$I$102,'Order Tracker'!$E$3:$E$102,B26))</f>
        <v/>
      </c>
      <c r="H26" s="13" t="str">
        <f aca="false">IF(B26="","",IFERROR(_xlfn.MAXIFS('Order Tracker'!$D$3:$D$102,'Order Tracker'!$E$3:$E$102,B26),""))</f>
        <v/>
      </c>
      <c r="I26" s="13"/>
      <c r="J26" s="11"/>
      <c r="K26" s="11" t="str">
        <f aca="false">IF(B26="","",RANK(G26,$G$3:$G$52)+COUNTIF($G$3:G26,G26)-1)</f>
        <v/>
      </c>
    </row>
    <row r="27" customFormat="false" ht="15" hidden="false" customHeight="false" outlineLevel="0" collapsed="false">
      <c r="A27" s="11" t="str">
        <f aca="false">IF(B27="","",ROW()-3+1)</f>
        <v/>
      </c>
      <c r="B27" s="11"/>
      <c r="C27" s="11"/>
      <c r="D27" s="11"/>
      <c r="E27" s="11"/>
      <c r="F27" s="11" t="str">
        <f aca="false">IF(B27="","",COUNTIFS('Order Tracker'!$E$3:$E$102,B27,'Order Tracker'!$B$3:$B$102,1))</f>
        <v/>
      </c>
      <c r="G27" s="12" t="str">
        <f aca="false">IF(B27="","",SUMIFS('Order Tracker'!$I$3:$I$102,'Order Tracker'!$E$3:$E$102,B27))</f>
        <v/>
      </c>
      <c r="H27" s="13" t="str">
        <f aca="false">IF(B27="","",IFERROR(_xlfn.MAXIFS('Order Tracker'!$D$3:$D$102,'Order Tracker'!$E$3:$E$102,B27),""))</f>
        <v/>
      </c>
      <c r="I27" s="13"/>
      <c r="J27" s="11"/>
      <c r="K27" s="11" t="str">
        <f aca="false">IF(B27="","",RANK(G27,$G$3:$G$52)+COUNTIF($G$3:G27,G27)-1)</f>
        <v/>
      </c>
    </row>
    <row r="28" customFormat="false" ht="15" hidden="false" customHeight="false" outlineLevel="0" collapsed="false">
      <c r="A28" s="11" t="str">
        <f aca="false">IF(B28="","",ROW()-3+1)</f>
        <v/>
      </c>
      <c r="B28" s="11"/>
      <c r="C28" s="11"/>
      <c r="D28" s="11"/>
      <c r="E28" s="11"/>
      <c r="F28" s="11" t="str">
        <f aca="false">IF(B28="","",COUNTIFS('Order Tracker'!$E$3:$E$102,B28,'Order Tracker'!$B$3:$B$102,1))</f>
        <v/>
      </c>
      <c r="G28" s="12" t="str">
        <f aca="false">IF(B28="","",SUMIFS('Order Tracker'!$I$3:$I$102,'Order Tracker'!$E$3:$E$102,B28))</f>
        <v/>
      </c>
      <c r="H28" s="13" t="str">
        <f aca="false">IF(B28="","",IFERROR(_xlfn.MAXIFS('Order Tracker'!$D$3:$D$102,'Order Tracker'!$E$3:$E$102,B28),""))</f>
        <v/>
      </c>
      <c r="I28" s="13"/>
      <c r="J28" s="11"/>
      <c r="K28" s="11" t="str">
        <f aca="false">IF(B28="","",RANK(G28,$G$3:$G$52)+COUNTIF($G$3:G28,G28)-1)</f>
        <v/>
      </c>
    </row>
    <row r="29" customFormat="false" ht="15" hidden="false" customHeight="false" outlineLevel="0" collapsed="false">
      <c r="A29" s="11" t="str">
        <f aca="false">IF(B29="","",ROW()-3+1)</f>
        <v/>
      </c>
      <c r="B29" s="11"/>
      <c r="C29" s="11"/>
      <c r="D29" s="11"/>
      <c r="E29" s="11"/>
      <c r="F29" s="11" t="str">
        <f aca="false">IF(B29="","",COUNTIFS('Order Tracker'!$E$3:$E$102,B29,'Order Tracker'!$B$3:$B$102,1))</f>
        <v/>
      </c>
      <c r="G29" s="12" t="str">
        <f aca="false">IF(B29="","",SUMIFS('Order Tracker'!$I$3:$I$102,'Order Tracker'!$E$3:$E$102,B29))</f>
        <v/>
      </c>
      <c r="H29" s="13" t="str">
        <f aca="false">IF(B29="","",IFERROR(_xlfn.MAXIFS('Order Tracker'!$D$3:$D$102,'Order Tracker'!$E$3:$E$102,B29),""))</f>
        <v/>
      </c>
      <c r="I29" s="13"/>
      <c r="J29" s="11"/>
      <c r="K29" s="11" t="str">
        <f aca="false">IF(B29="","",RANK(G29,$G$3:$G$52)+COUNTIF($G$3:G29,G29)-1)</f>
        <v/>
      </c>
    </row>
    <row r="30" customFormat="false" ht="15" hidden="false" customHeight="false" outlineLevel="0" collapsed="false">
      <c r="A30" s="11" t="str">
        <f aca="false">IF(B30="","",ROW()-3+1)</f>
        <v/>
      </c>
      <c r="B30" s="11"/>
      <c r="C30" s="11"/>
      <c r="D30" s="11"/>
      <c r="E30" s="11"/>
      <c r="F30" s="11" t="str">
        <f aca="false">IF(B30="","",COUNTIFS('Order Tracker'!$E$3:$E$102,B30,'Order Tracker'!$B$3:$B$102,1))</f>
        <v/>
      </c>
      <c r="G30" s="12" t="str">
        <f aca="false">IF(B30="","",SUMIFS('Order Tracker'!$I$3:$I$102,'Order Tracker'!$E$3:$E$102,B30))</f>
        <v/>
      </c>
      <c r="H30" s="13" t="str">
        <f aca="false">IF(B30="","",IFERROR(_xlfn.MAXIFS('Order Tracker'!$D$3:$D$102,'Order Tracker'!$E$3:$E$102,B30),""))</f>
        <v/>
      </c>
      <c r="I30" s="13"/>
      <c r="J30" s="11"/>
      <c r="K30" s="11" t="str">
        <f aca="false">IF(B30="","",RANK(G30,$G$3:$G$52)+COUNTIF($G$3:G30,G30)-1)</f>
        <v/>
      </c>
    </row>
    <row r="31" customFormat="false" ht="15" hidden="false" customHeight="false" outlineLevel="0" collapsed="false">
      <c r="A31" s="11" t="str">
        <f aca="false">IF(B31="","",ROW()-3+1)</f>
        <v/>
      </c>
      <c r="B31" s="11"/>
      <c r="C31" s="11"/>
      <c r="D31" s="11"/>
      <c r="E31" s="11"/>
      <c r="F31" s="11" t="str">
        <f aca="false">IF(B31="","",COUNTIFS('Order Tracker'!$E$3:$E$102,B31,'Order Tracker'!$B$3:$B$102,1))</f>
        <v/>
      </c>
      <c r="G31" s="12" t="str">
        <f aca="false">IF(B31="","",SUMIFS('Order Tracker'!$I$3:$I$102,'Order Tracker'!$E$3:$E$102,B31))</f>
        <v/>
      </c>
      <c r="H31" s="13" t="str">
        <f aca="false">IF(B31="","",IFERROR(_xlfn.MAXIFS('Order Tracker'!$D$3:$D$102,'Order Tracker'!$E$3:$E$102,B31),""))</f>
        <v/>
      </c>
      <c r="I31" s="13"/>
      <c r="J31" s="11"/>
      <c r="K31" s="11" t="str">
        <f aca="false">IF(B31="","",RANK(G31,$G$3:$G$52)+COUNTIF($G$3:G31,G31)-1)</f>
        <v/>
      </c>
    </row>
    <row r="32" customFormat="false" ht="15" hidden="false" customHeight="false" outlineLevel="0" collapsed="false">
      <c r="A32" s="11" t="str">
        <f aca="false">IF(B32="","",ROW()-3+1)</f>
        <v/>
      </c>
      <c r="B32" s="11"/>
      <c r="C32" s="11"/>
      <c r="D32" s="11"/>
      <c r="E32" s="11"/>
      <c r="F32" s="11" t="str">
        <f aca="false">IF(B32="","",COUNTIFS('Order Tracker'!$E$3:$E$102,B32,'Order Tracker'!$B$3:$B$102,1))</f>
        <v/>
      </c>
      <c r="G32" s="12" t="str">
        <f aca="false">IF(B32="","",SUMIFS('Order Tracker'!$I$3:$I$102,'Order Tracker'!$E$3:$E$102,B32))</f>
        <v/>
      </c>
      <c r="H32" s="13" t="str">
        <f aca="false">IF(B32="","",IFERROR(_xlfn.MAXIFS('Order Tracker'!$D$3:$D$102,'Order Tracker'!$E$3:$E$102,B32),""))</f>
        <v/>
      </c>
      <c r="I32" s="13"/>
      <c r="J32" s="11"/>
      <c r="K32" s="11" t="str">
        <f aca="false">IF(B32="","",RANK(G32,$G$3:$G$52)+COUNTIF($G$3:G32,G32)-1)</f>
        <v/>
      </c>
    </row>
    <row r="33" customFormat="false" ht="15" hidden="false" customHeight="false" outlineLevel="0" collapsed="false">
      <c r="A33" s="11" t="str">
        <f aca="false">IF(B33="","",ROW()-3+1)</f>
        <v/>
      </c>
      <c r="B33" s="11"/>
      <c r="C33" s="11"/>
      <c r="D33" s="11"/>
      <c r="E33" s="11"/>
      <c r="F33" s="11" t="str">
        <f aca="false">IF(B33="","",COUNTIFS('Order Tracker'!$E$3:$E$102,B33,'Order Tracker'!$B$3:$B$102,1))</f>
        <v/>
      </c>
      <c r="G33" s="12" t="str">
        <f aca="false">IF(B33="","",SUMIFS('Order Tracker'!$I$3:$I$102,'Order Tracker'!$E$3:$E$102,B33))</f>
        <v/>
      </c>
      <c r="H33" s="13" t="str">
        <f aca="false">IF(B33="","",IFERROR(_xlfn.MAXIFS('Order Tracker'!$D$3:$D$102,'Order Tracker'!$E$3:$E$102,B33),""))</f>
        <v/>
      </c>
      <c r="I33" s="13"/>
      <c r="J33" s="11"/>
      <c r="K33" s="11" t="str">
        <f aca="false">IF(B33="","",RANK(G33,$G$3:$G$52)+COUNTIF($G$3:G33,G33)-1)</f>
        <v/>
      </c>
    </row>
    <row r="34" customFormat="false" ht="15" hidden="false" customHeight="false" outlineLevel="0" collapsed="false">
      <c r="A34" s="11" t="str">
        <f aca="false">IF(B34="","",ROW()-3+1)</f>
        <v/>
      </c>
      <c r="B34" s="11"/>
      <c r="C34" s="11"/>
      <c r="D34" s="11"/>
      <c r="E34" s="11"/>
      <c r="F34" s="11" t="str">
        <f aca="false">IF(B34="","",COUNTIFS('Order Tracker'!$E$3:$E$102,B34,'Order Tracker'!$B$3:$B$102,1))</f>
        <v/>
      </c>
      <c r="G34" s="12" t="str">
        <f aca="false">IF(B34="","",SUMIFS('Order Tracker'!$I$3:$I$102,'Order Tracker'!$E$3:$E$102,B34))</f>
        <v/>
      </c>
      <c r="H34" s="13" t="str">
        <f aca="false">IF(B34="","",IFERROR(_xlfn.MAXIFS('Order Tracker'!$D$3:$D$102,'Order Tracker'!$E$3:$E$102,B34),""))</f>
        <v/>
      </c>
      <c r="I34" s="13"/>
      <c r="J34" s="11"/>
      <c r="K34" s="11" t="str">
        <f aca="false">IF(B34="","",RANK(G34,$G$3:$G$52)+COUNTIF($G$3:G34,G34)-1)</f>
        <v/>
      </c>
    </row>
    <row r="35" customFormat="false" ht="15" hidden="false" customHeight="false" outlineLevel="0" collapsed="false">
      <c r="A35" s="11" t="str">
        <f aca="false">IF(B35="","",ROW()-3+1)</f>
        <v/>
      </c>
      <c r="B35" s="11"/>
      <c r="C35" s="11"/>
      <c r="D35" s="11"/>
      <c r="E35" s="11"/>
      <c r="F35" s="11" t="str">
        <f aca="false">IF(B35="","",COUNTIFS('Order Tracker'!$E$3:$E$102,B35,'Order Tracker'!$B$3:$B$102,1))</f>
        <v/>
      </c>
      <c r="G35" s="12" t="str">
        <f aca="false">IF(B35="","",SUMIFS('Order Tracker'!$I$3:$I$102,'Order Tracker'!$E$3:$E$102,B35))</f>
        <v/>
      </c>
      <c r="H35" s="13" t="str">
        <f aca="false">IF(B35="","",IFERROR(_xlfn.MAXIFS('Order Tracker'!$D$3:$D$102,'Order Tracker'!$E$3:$E$102,B35),""))</f>
        <v/>
      </c>
      <c r="I35" s="13"/>
      <c r="J35" s="11"/>
      <c r="K35" s="11" t="str">
        <f aca="false">IF(B35="","",RANK(G35,$G$3:$G$52)+COUNTIF($G$3:G35,G35)-1)</f>
        <v/>
      </c>
    </row>
    <row r="36" customFormat="false" ht="15" hidden="false" customHeight="false" outlineLevel="0" collapsed="false">
      <c r="A36" s="11" t="str">
        <f aca="false">IF(B36="","",ROW()-3+1)</f>
        <v/>
      </c>
      <c r="B36" s="11"/>
      <c r="C36" s="11"/>
      <c r="D36" s="11"/>
      <c r="E36" s="11"/>
      <c r="F36" s="11" t="str">
        <f aca="false">IF(B36="","",COUNTIFS('Order Tracker'!$E$3:$E$102,B36,'Order Tracker'!$B$3:$B$102,1))</f>
        <v/>
      </c>
      <c r="G36" s="12" t="str">
        <f aca="false">IF(B36="","",SUMIFS('Order Tracker'!$I$3:$I$102,'Order Tracker'!$E$3:$E$102,B36))</f>
        <v/>
      </c>
      <c r="H36" s="13" t="str">
        <f aca="false">IF(B36="","",IFERROR(_xlfn.MAXIFS('Order Tracker'!$D$3:$D$102,'Order Tracker'!$E$3:$E$102,B36),""))</f>
        <v/>
      </c>
      <c r="I36" s="13"/>
      <c r="J36" s="11"/>
      <c r="K36" s="11" t="str">
        <f aca="false">IF(B36="","",RANK(G36,$G$3:$G$52)+COUNTIF($G$3:G36,G36)-1)</f>
        <v/>
      </c>
    </row>
    <row r="37" customFormat="false" ht="15" hidden="false" customHeight="false" outlineLevel="0" collapsed="false">
      <c r="A37" s="11" t="str">
        <f aca="false">IF(B37="","",ROW()-3+1)</f>
        <v/>
      </c>
      <c r="B37" s="11"/>
      <c r="C37" s="11"/>
      <c r="D37" s="11"/>
      <c r="E37" s="11"/>
      <c r="F37" s="11" t="str">
        <f aca="false">IF(B37="","",COUNTIFS('Order Tracker'!$E$3:$E$102,B37,'Order Tracker'!$B$3:$B$102,1))</f>
        <v/>
      </c>
      <c r="G37" s="12" t="str">
        <f aca="false">IF(B37="","",SUMIFS('Order Tracker'!$I$3:$I$102,'Order Tracker'!$E$3:$E$102,B37))</f>
        <v/>
      </c>
      <c r="H37" s="13" t="str">
        <f aca="false">IF(B37="","",IFERROR(_xlfn.MAXIFS('Order Tracker'!$D$3:$D$102,'Order Tracker'!$E$3:$E$102,B37),""))</f>
        <v/>
      </c>
      <c r="I37" s="13"/>
      <c r="J37" s="11"/>
      <c r="K37" s="11" t="str">
        <f aca="false">IF(B37="","",RANK(G37,$G$3:$G$52)+COUNTIF($G$3:G37,G37)-1)</f>
        <v/>
      </c>
    </row>
    <row r="38" customFormat="false" ht="15" hidden="false" customHeight="false" outlineLevel="0" collapsed="false">
      <c r="A38" s="11" t="str">
        <f aca="false">IF(B38="","",ROW()-3+1)</f>
        <v/>
      </c>
      <c r="B38" s="11"/>
      <c r="C38" s="11"/>
      <c r="D38" s="11"/>
      <c r="E38" s="11"/>
      <c r="F38" s="11" t="str">
        <f aca="false">IF(B38="","",COUNTIFS('Order Tracker'!$E$3:$E$102,B38,'Order Tracker'!$B$3:$B$102,1))</f>
        <v/>
      </c>
      <c r="G38" s="12" t="str">
        <f aca="false">IF(B38="","",SUMIFS('Order Tracker'!$I$3:$I$102,'Order Tracker'!$E$3:$E$102,B38))</f>
        <v/>
      </c>
      <c r="H38" s="13" t="str">
        <f aca="false">IF(B38="","",IFERROR(_xlfn.MAXIFS('Order Tracker'!$D$3:$D$102,'Order Tracker'!$E$3:$E$102,B38),""))</f>
        <v/>
      </c>
      <c r="I38" s="13"/>
      <c r="J38" s="11"/>
      <c r="K38" s="11" t="str">
        <f aca="false">IF(B38="","",RANK(G38,$G$3:$G$52)+COUNTIF($G$3:G38,G38)-1)</f>
        <v/>
      </c>
    </row>
    <row r="39" customFormat="false" ht="15" hidden="false" customHeight="false" outlineLevel="0" collapsed="false">
      <c r="A39" s="11" t="str">
        <f aca="false">IF(B39="","",ROW()-3+1)</f>
        <v/>
      </c>
      <c r="B39" s="11"/>
      <c r="C39" s="11"/>
      <c r="D39" s="11"/>
      <c r="E39" s="11"/>
      <c r="F39" s="11" t="str">
        <f aca="false">IF(B39="","",COUNTIFS('Order Tracker'!$E$3:$E$102,B39,'Order Tracker'!$B$3:$B$102,1))</f>
        <v/>
      </c>
      <c r="G39" s="12" t="str">
        <f aca="false">IF(B39="","",SUMIFS('Order Tracker'!$I$3:$I$102,'Order Tracker'!$E$3:$E$102,B39))</f>
        <v/>
      </c>
      <c r="H39" s="13" t="str">
        <f aca="false">IF(B39="","",IFERROR(_xlfn.MAXIFS('Order Tracker'!$D$3:$D$102,'Order Tracker'!$E$3:$E$102,B39),""))</f>
        <v/>
      </c>
      <c r="I39" s="13"/>
      <c r="J39" s="11"/>
      <c r="K39" s="11" t="str">
        <f aca="false">IF(B39="","",RANK(G39,$G$3:$G$52)+COUNTIF($G$3:G39,G39)-1)</f>
        <v/>
      </c>
    </row>
    <row r="40" customFormat="false" ht="15" hidden="false" customHeight="false" outlineLevel="0" collapsed="false">
      <c r="A40" s="11" t="str">
        <f aca="false">IF(B40="","",ROW()-3+1)</f>
        <v/>
      </c>
      <c r="B40" s="11"/>
      <c r="C40" s="11"/>
      <c r="D40" s="11"/>
      <c r="E40" s="11"/>
      <c r="F40" s="11" t="str">
        <f aca="false">IF(B40="","",COUNTIFS('Order Tracker'!$E$3:$E$102,B40,'Order Tracker'!$B$3:$B$102,1))</f>
        <v/>
      </c>
      <c r="G40" s="12" t="str">
        <f aca="false">IF(B40="","",SUMIFS('Order Tracker'!$I$3:$I$102,'Order Tracker'!$E$3:$E$102,B40))</f>
        <v/>
      </c>
      <c r="H40" s="13" t="str">
        <f aca="false">IF(B40="","",IFERROR(_xlfn.MAXIFS('Order Tracker'!$D$3:$D$102,'Order Tracker'!$E$3:$E$102,B40),""))</f>
        <v/>
      </c>
      <c r="I40" s="13"/>
      <c r="J40" s="11"/>
      <c r="K40" s="11" t="str">
        <f aca="false">IF(B40="","",RANK(G40,$G$3:$G$52)+COUNTIF($G$3:G40,G40)-1)</f>
        <v/>
      </c>
    </row>
    <row r="41" customFormat="false" ht="15" hidden="false" customHeight="false" outlineLevel="0" collapsed="false">
      <c r="A41" s="11" t="str">
        <f aca="false">IF(B41="","",ROW()-3+1)</f>
        <v/>
      </c>
      <c r="B41" s="11"/>
      <c r="C41" s="11"/>
      <c r="D41" s="11"/>
      <c r="E41" s="11"/>
      <c r="F41" s="11" t="str">
        <f aca="false">IF(B41="","",COUNTIFS('Order Tracker'!$E$3:$E$102,B41,'Order Tracker'!$B$3:$B$102,1))</f>
        <v/>
      </c>
      <c r="G41" s="12" t="str">
        <f aca="false">IF(B41="","",SUMIFS('Order Tracker'!$I$3:$I$102,'Order Tracker'!$E$3:$E$102,B41))</f>
        <v/>
      </c>
      <c r="H41" s="13" t="str">
        <f aca="false">IF(B41="","",IFERROR(_xlfn.MAXIFS('Order Tracker'!$D$3:$D$102,'Order Tracker'!$E$3:$E$102,B41),""))</f>
        <v/>
      </c>
      <c r="I41" s="13"/>
      <c r="J41" s="11"/>
      <c r="K41" s="11" t="str">
        <f aca="false">IF(B41="","",RANK(G41,$G$3:$G$52)+COUNTIF($G$3:G41,G41)-1)</f>
        <v/>
      </c>
    </row>
    <row r="42" customFormat="false" ht="15" hidden="false" customHeight="false" outlineLevel="0" collapsed="false">
      <c r="A42" s="11" t="str">
        <f aca="false">IF(B42="","",ROW()-3+1)</f>
        <v/>
      </c>
      <c r="B42" s="11"/>
      <c r="C42" s="11"/>
      <c r="D42" s="11"/>
      <c r="E42" s="11"/>
      <c r="F42" s="11" t="str">
        <f aca="false">IF(B42="","",COUNTIFS('Order Tracker'!$E$3:$E$102,B42,'Order Tracker'!$B$3:$B$102,1))</f>
        <v/>
      </c>
      <c r="G42" s="12" t="str">
        <f aca="false">IF(B42="","",SUMIFS('Order Tracker'!$I$3:$I$102,'Order Tracker'!$E$3:$E$102,B42))</f>
        <v/>
      </c>
      <c r="H42" s="13" t="str">
        <f aca="false">IF(B42="","",IFERROR(_xlfn.MAXIFS('Order Tracker'!$D$3:$D$102,'Order Tracker'!$E$3:$E$102,B42),""))</f>
        <v/>
      </c>
      <c r="I42" s="13"/>
      <c r="J42" s="11"/>
      <c r="K42" s="11" t="str">
        <f aca="false">IF(B42="","",RANK(G42,$G$3:$G$52)+COUNTIF($G$3:G42,G42)-1)</f>
        <v/>
      </c>
    </row>
    <row r="43" customFormat="false" ht="15" hidden="false" customHeight="false" outlineLevel="0" collapsed="false">
      <c r="A43" s="11" t="str">
        <f aca="false">IF(B43="","",ROW()-3+1)</f>
        <v/>
      </c>
      <c r="B43" s="11"/>
      <c r="C43" s="11"/>
      <c r="D43" s="11"/>
      <c r="E43" s="11"/>
      <c r="F43" s="11" t="str">
        <f aca="false">IF(B43="","",COUNTIFS('Order Tracker'!$E$3:$E$102,B43,'Order Tracker'!$B$3:$B$102,1))</f>
        <v/>
      </c>
      <c r="G43" s="12" t="str">
        <f aca="false">IF(B43="","",SUMIFS('Order Tracker'!$I$3:$I$102,'Order Tracker'!$E$3:$E$102,B43))</f>
        <v/>
      </c>
      <c r="H43" s="13" t="str">
        <f aca="false">IF(B43="","",IFERROR(_xlfn.MAXIFS('Order Tracker'!$D$3:$D$102,'Order Tracker'!$E$3:$E$102,B43),""))</f>
        <v/>
      </c>
      <c r="I43" s="13"/>
      <c r="J43" s="11"/>
      <c r="K43" s="11" t="str">
        <f aca="false">IF(B43="","",RANK(G43,$G$3:$G$52)+COUNTIF($G$3:G43,G43)-1)</f>
        <v/>
      </c>
    </row>
    <row r="44" customFormat="false" ht="15" hidden="false" customHeight="false" outlineLevel="0" collapsed="false">
      <c r="A44" s="11" t="str">
        <f aca="false">IF(B44="","",ROW()-3+1)</f>
        <v/>
      </c>
      <c r="B44" s="11"/>
      <c r="C44" s="11"/>
      <c r="D44" s="11"/>
      <c r="E44" s="11"/>
      <c r="F44" s="11" t="str">
        <f aca="false">IF(B44="","",COUNTIFS('Order Tracker'!$E$3:$E$102,B44,'Order Tracker'!$B$3:$B$102,1))</f>
        <v/>
      </c>
      <c r="G44" s="12" t="str">
        <f aca="false">IF(B44="","",SUMIFS('Order Tracker'!$I$3:$I$102,'Order Tracker'!$E$3:$E$102,B44))</f>
        <v/>
      </c>
      <c r="H44" s="13" t="str">
        <f aca="false">IF(B44="","",IFERROR(_xlfn.MAXIFS('Order Tracker'!$D$3:$D$102,'Order Tracker'!$E$3:$E$102,B44),""))</f>
        <v/>
      </c>
      <c r="I44" s="13"/>
      <c r="J44" s="11"/>
      <c r="K44" s="11" t="str">
        <f aca="false">IF(B44="","",RANK(G44,$G$3:$G$52)+COUNTIF($G$3:G44,G44)-1)</f>
        <v/>
      </c>
    </row>
    <row r="45" customFormat="false" ht="15" hidden="false" customHeight="false" outlineLevel="0" collapsed="false">
      <c r="A45" s="11" t="str">
        <f aca="false">IF(B45="","",ROW()-3+1)</f>
        <v/>
      </c>
      <c r="B45" s="11"/>
      <c r="C45" s="11"/>
      <c r="D45" s="11"/>
      <c r="E45" s="11"/>
      <c r="F45" s="11" t="str">
        <f aca="false">IF(B45="","",COUNTIFS('Order Tracker'!$E$3:$E$102,B45,'Order Tracker'!$B$3:$B$102,1))</f>
        <v/>
      </c>
      <c r="G45" s="12" t="str">
        <f aca="false">IF(B45="","",SUMIFS('Order Tracker'!$I$3:$I$102,'Order Tracker'!$E$3:$E$102,B45))</f>
        <v/>
      </c>
      <c r="H45" s="13" t="str">
        <f aca="false">IF(B45="","",IFERROR(_xlfn.MAXIFS('Order Tracker'!$D$3:$D$102,'Order Tracker'!$E$3:$E$102,B45),""))</f>
        <v/>
      </c>
      <c r="I45" s="13"/>
      <c r="J45" s="11"/>
      <c r="K45" s="11" t="str">
        <f aca="false">IF(B45="","",RANK(G45,$G$3:$G$52)+COUNTIF($G$3:G45,G45)-1)</f>
        <v/>
      </c>
    </row>
    <row r="46" customFormat="false" ht="15" hidden="false" customHeight="false" outlineLevel="0" collapsed="false">
      <c r="A46" s="11" t="str">
        <f aca="false">IF(B46="","",ROW()-3+1)</f>
        <v/>
      </c>
      <c r="B46" s="11"/>
      <c r="C46" s="11"/>
      <c r="D46" s="11"/>
      <c r="E46" s="11"/>
      <c r="F46" s="11" t="str">
        <f aca="false">IF(B46="","",COUNTIFS('Order Tracker'!$E$3:$E$102,B46,'Order Tracker'!$B$3:$B$102,1))</f>
        <v/>
      </c>
      <c r="G46" s="12" t="str">
        <f aca="false">IF(B46="","",SUMIFS('Order Tracker'!$I$3:$I$102,'Order Tracker'!$E$3:$E$102,B46))</f>
        <v/>
      </c>
      <c r="H46" s="13" t="str">
        <f aca="false">IF(B46="","",IFERROR(_xlfn.MAXIFS('Order Tracker'!$D$3:$D$102,'Order Tracker'!$E$3:$E$102,B46),""))</f>
        <v/>
      </c>
      <c r="I46" s="13"/>
      <c r="J46" s="11"/>
      <c r="K46" s="11" t="str">
        <f aca="false">IF(B46="","",RANK(G46,$G$3:$G$52)+COUNTIF($G$3:G46,G46)-1)</f>
        <v/>
      </c>
    </row>
    <row r="47" customFormat="false" ht="15" hidden="false" customHeight="false" outlineLevel="0" collapsed="false">
      <c r="A47" s="11" t="str">
        <f aca="false">IF(B47="","",ROW()-3+1)</f>
        <v/>
      </c>
      <c r="B47" s="11"/>
      <c r="C47" s="11"/>
      <c r="D47" s="11"/>
      <c r="E47" s="11"/>
      <c r="F47" s="11" t="str">
        <f aca="false">IF(B47="","",COUNTIFS('Order Tracker'!$E$3:$E$102,B47,'Order Tracker'!$B$3:$B$102,1))</f>
        <v/>
      </c>
      <c r="G47" s="12" t="str">
        <f aca="false">IF(B47="","",SUMIFS('Order Tracker'!$I$3:$I$102,'Order Tracker'!$E$3:$E$102,B47))</f>
        <v/>
      </c>
      <c r="H47" s="13" t="str">
        <f aca="false">IF(B47="","",IFERROR(_xlfn.MAXIFS('Order Tracker'!$D$3:$D$102,'Order Tracker'!$E$3:$E$102,B47),""))</f>
        <v/>
      </c>
      <c r="I47" s="13"/>
      <c r="J47" s="11"/>
      <c r="K47" s="11" t="str">
        <f aca="false">IF(B47="","",RANK(G47,$G$3:$G$52)+COUNTIF($G$3:G47,G47)-1)</f>
        <v/>
      </c>
    </row>
    <row r="48" customFormat="false" ht="15" hidden="false" customHeight="false" outlineLevel="0" collapsed="false">
      <c r="A48" s="11" t="str">
        <f aca="false">IF(B48="","",ROW()-3+1)</f>
        <v/>
      </c>
      <c r="B48" s="11"/>
      <c r="C48" s="11"/>
      <c r="D48" s="11"/>
      <c r="E48" s="11"/>
      <c r="F48" s="11" t="str">
        <f aca="false">IF(B48="","",COUNTIFS('Order Tracker'!$E$3:$E$102,B48,'Order Tracker'!$B$3:$B$102,1))</f>
        <v/>
      </c>
      <c r="G48" s="12" t="str">
        <f aca="false">IF(B48="","",SUMIFS('Order Tracker'!$I$3:$I$102,'Order Tracker'!$E$3:$E$102,B48))</f>
        <v/>
      </c>
      <c r="H48" s="13" t="str">
        <f aca="false">IF(B48="","",IFERROR(_xlfn.MAXIFS('Order Tracker'!$D$3:$D$102,'Order Tracker'!$E$3:$E$102,B48),""))</f>
        <v/>
      </c>
      <c r="I48" s="13"/>
      <c r="J48" s="11"/>
      <c r="K48" s="11" t="str">
        <f aca="false">IF(B48="","",RANK(G48,$G$3:$G$52)+COUNTIF($G$3:G48,G48)-1)</f>
        <v/>
      </c>
    </row>
    <row r="49" customFormat="false" ht="15" hidden="false" customHeight="false" outlineLevel="0" collapsed="false">
      <c r="A49" s="11" t="str">
        <f aca="false">IF(B49="","",ROW()-3+1)</f>
        <v/>
      </c>
      <c r="B49" s="11"/>
      <c r="C49" s="11"/>
      <c r="D49" s="11"/>
      <c r="E49" s="11"/>
      <c r="F49" s="11" t="str">
        <f aca="false">IF(B49="","",COUNTIFS('Order Tracker'!$E$3:$E$102,B49,'Order Tracker'!$B$3:$B$102,1))</f>
        <v/>
      </c>
      <c r="G49" s="12" t="str">
        <f aca="false">IF(B49="","",SUMIFS('Order Tracker'!$I$3:$I$102,'Order Tracker'!$E$3:$E$102,B49))</f>
        <v/>
      </c>
      <c r="H49" s="13" t="str">
        <f aca="false">IF(B49="","",IFERROR(_xlfn.MAXIFS('Order Tracker'!$D$3:$D$102,'Order Tracker'!$E$3:$E$102,B49),""))</f>
        <v/>
      </c>
      <c r="I49" s="13"/>
      <c r="J49" s="11"/>
      <c r="K49" s="11" t="str">
        <f aca="false">IF(B49="","",RANK(G49,$G$3:$G$52)+COUNTIF($G$3:G49,G49)-1)</f>
        <v/>
      </c>
    </row>
    <row r="50" customFormat="false" ht="15" hidden="false" customHeight="false" outlineLevel="0" collapsed="false">
      <c r="A50" s="11" t="str">
        <f aca="false">IF(B50="","",ROW()-3+1)</f>
        <v/>
      </c>
      <c r="B50" s="11"/>
      <c r="C50" s="11"/>
      <c r="D50" s="11"/>
      <c r="E50" s="11"/>
      <c r="F50" s="11" t="str">
        <f aca="false">IF(B50="","",COUNTIFS('Order Tracker'!$E$3:$E$102,B50,'Order Tracker'!$B$3:$B$102,1))</f>
        <v/>
      </c>
      <c r="G50" s="12" t="str">
        <f aca="false">IF(B50="","",SUMIFS('Order Tracker'!$I$3:$I$102,'Order Tracker'!$E$3:$E$102,B50))</f>
        <v/>
      </c>
      <c r="H50" s="13" t="str">
        <f aca="false">IF(B50="","",IFERROR(_xlfn.MAXIFS('Order Tracker'!$D$3:$D$102,'Order Tracker'!$E$3:$E$102,B50),""))</f>
        <v/>
      </c>
      <c r="I50" s="13"/>
      <c r="J50" s="11"/>
      <c r="K50" s="11" t="str">
        <f aca="false">IF(B50="","",RANK(G50,$G$3:$G$52)+COUNTIF($G$3:G50,G50)-1)</f>
        <v/>
      </c>
    </row>
    <row r="51" customFormat="false" ht="15" hidden="false" customHeight="false" outlineLevel="0" collapsed="false">
      <c r="A51" s="11" t="str">
        <f aca="false">IF(B51="","",ROW()-3+1)</f>
        <v/>
      </c>
      <c r="B51" s="11"/>
      <c r="C51" s="11"/>
      <c r="D51" s="11"/>
      <c r="E51" s="11"/>
      <c r="F51" s="11" t="str">
        <f aca="false">IF(B51="","",COUNTIFS('Order Tracker'!$E$3:$E$102,B51,'Order Tracker'!$B$3:$B$102,1))</f>
        <v/>
      </c>
      <c r="G51" s="12" t="str">
        <f aca="false">IF(B51="","",SUMIFS('Order Tracker'!$I$3:$I$102,'Order Tracker'!$E$3:$E$102,B51))</f>
        <v/>
      </c>
      <c r="H51" s="13" t="str">
        <f aca="false">IF(B51="","",IFERROR(_xlfn.MAXIFS('Order Tracker'!$D$3:$D$102,'Order Tracker'!$E$3:$E$102,B51),""))</f>
        <v/>
      </c>
      <c r="I51" s="13"/>
      <c r="J51" s="11"/>
      <c r="K51" s="11" t="str">
        <f aca="false">IF(B51="","",RANK(G51,$G$3:$G$52)+COUNTIF($G$3:G51,G51)-1)</f>
        <v/>
      </c>
    </row>
    <row r="52" customFormat="false" ht="15" hidden="false" customHeight="false" outlineLevel="0" collapsed="false">
      <c r="A52" s="11" t="str">
        <f aca="false">IF(B52="","",ROW()-3+1)</f>
        <v/>
      </c>
      <c r="B52" s="11"/>
      <c r="C52" s="11"/>
      <c r="D52" s="11"/>
      <c r="E52" s="11"/>
      <c r="F52" s="11" t="str">
        <f aca="false">IF(B52="","",COUNTIFS('Order Tracker'!$E$3:$E$102,B52,'Order Tracker'!$B$3:$B$102,1))</f>
        <v/>
      </c>
      <c r="G52" s="12" t="str">
        <f aca="false">IF(B52="","",SUMIFS('Order Tracker'!$I$3:$I$102,'Order Tracker'!$E$3:$E$102,B52))</f>
        <v/>
      </c>
      <c r="H52" s="13" t="str">
        <f aca="false">IF(B52="","",IFERROR(_xlfn.MAXIFS('Order Tracker'!$D$3:$D$102,'Order Tracker'!$E$3:$E$102,B52),""))</f>
        <v/>
      </c>
      <c r="I52" s="13"/>
      <c r="J52" s="11"/>
      <c r="K52" s="11" t="str">
        <f aca="false">IF(B52="","",RANK(G52,$G$3:$G$52)+COUNTIF($G$3:G52,G52)-1)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6.85" hidden="false" customHeight="false" outlineLevel="0" collapsed="false">
      <c r="A2" s="10" t="s">
        <v>49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0" t="s">
        <v>56</v>
      </c>
      <c r="I2" s="10" t="s">
        <v>57</v>
      </c>
      <c r="J2" s="10" t="s">
        <v>58</v>
      </c>
      <c r="K2" s="10" t="s">
        <v>59</v>
      </c>
      <c r="L2" s="10" t="s">
        <v>60</v>
      </c>
      <c r="M2" s="10" t="s">
        <v>61</v>
      </c>
    </row>
    <row r="3" customFormat="false" ht="15" hidden="false" customHeight="false" outlineLevel="0" collapsed="false">
      <c r="A3" s="11"/>
      <c r="B3" s="11"/>
      <c r="C3" s="11"/>
      <c r="D3" s="12"/>
      <c r="E3" s="12"/>
      <c r="F3" s="11"/>
      <c r="G3" s="11"/>
      <c r="H3" s="12" t="n">
        <f aca="false">IFERROR(D3*F3,0)</f>
        <v>0</v>
      </c>
      <c r="I3" s="12" t="n">
        <f aca="false">IFERROR(E3*F3,0)</f>
        <v>0</v>
      </c>
      <c r="J3" s="11" t="str">
        <f aca="false">IF(B3="","",IF(F3&lt;=G3,"Reorder!","OK"))</f>
        <v/>
      </c>
      <c r="K3" s="11" t="str">
        <f aca="false">IF(B3="","",SUMIFS('Order Tracker'!$G$3:$G$102,'Order Tracker'!$F$3:$F$102,B3))</f>
        <v/>
      </c>
      <c r="L3" s="12" t="str">
        <f aca="false">IF(B3="","",SUMIFS('Order Tracker'!$I$3:$I$102,'Order Tracker'!$F$3:$F$102,B3))</f>
        <v/>
      </c>
      <c r="M3" s="11" t="str">
        <f aca="false">IF(B3="","",RANK(L3,$L$3:$L$52)+COUNTIF($L$3:L3,L3)-1)</f>
        <v/>
      </c>
    </row>
    <row r="4" customFormat="false" ht="15" hidden="false" customHeight="false" outlineLevel="0" collapsed="false">
      <c r="A4" s="11"/>
      <c r="B4" s="11"/>
      <c r="C4" s="11"/>
      <c r="D4" s="12"/>
      <c r="E4" s="12"/>
      <c r="F4" s="11"/>
      <c r="G4" s="11"/>
      <c r="H4" s="12" t="n">
        <f aca="false">IFERROR(D4*F4,0)</f>
        <v>0</v>
      </c>
      <c r="I4" s="12" t="n">
        <f aca="false">IFERROR(E4*F4,0)</f>
        <v>0</v>
      </c>
      <c r="J4" s="11" t="str">
        <f aca="false">IF(B4="","",IF(F4&lt;=G4,"Reorder!","OK"))</f>
        <v/>
      </c>
      <c r="K4" s="11" t="str">
        <f aca="false">IF(B4="","",SUMIFS('Order Tracker'!$G$3:$G$102,'Order Tracker'!$F$3:$F$102,B4))</f>
        <v/>
      </c>
      <c r="L4" s="12" t="str">
        <f aca="false">IF(B4="","",SUMIFS('Order Tracker'!$I$3:$I$102,'Order Tracker'!$F$3:$F$102,B4))</f>
        <v/>
      </c>
      <c r="M4" s="11" t="str">
        <f aca="false">IF(B4="","",RANK(L4,$L$3:$L$52)+COUNTIF($L$3:L4,L4)-1)</f>
        <v/>
      </c>
    </row>
    <row r="5" customFormat="false" ht="15" hidden="false" customHeight="false" outlineLevel="0" collapsed="false">
      <c r="A5" s="11"/>
      <c r="B5" s="11"/>
      <c r="C5" s="11"/>
      <c r="D5" s="12"/>
      <c r="E5" s="12"/>
      <c r="F5" s="11"/>
      <c r="G5" s="11"/>
      <c r="H5" s="12" t="n">
        <f aca="false">IFERROR(D5*F5,0)</f>
        <v>0</v>
      </c>
      <c r="I5" s="12" t="n">
        <f aca="false">IFERROR(E5*F5,0)</f>
        <v>0</v>
      </c>
      <c r="J5" s="11" t="str">
        <f aca="false">IF(B5="","",IF(F5&lt;=G5,"Reorder!","OK"))</f>
        <v/>
      </c>
      <c r="K5" s="11" t="str">
        <f aca="false">IF(B5="","",SUMIFS('Order Tracker'!$G$3:$G$102,'Order Tracker'!$F$3:$F$102,B5))</f>
        <v/>
      </c>
      <c r="L5" s="12" t="str">
        <f aca="false">IF(B5="","",SUMIFS('Order Tracker'!$I$3:$I$102,'Order Tracker'!$F$3:$F$102,B5))</f>
        <v/>
      </c>
      <c r="M5" s="11" t="str">
        <f aca="false">IF(B5="","",RANK(L5,$L$3:$L$52)+COUNTIF($L$3:L5,L5)-1)</f>
        <v/>
      </c>
    </row>
    <row r="6" customFormat="false" ht="15" hidden="false" customHeight="false" outlineLevel="0" collapsed="false">
      <c r="A6" s="11"/>
      <c r="B6" s="11"/>
      <c r="C6" s="11"/>
      <c r="D6" s="12"/>
      <c r="E6" s="12"/>
      <c r="F6" s="11"/>
      <c r="G6" s="11"/>
      <c r="H6" s="12" t="n">
        <f aca="false">IFERROR(D6*F6,0)</f>
        <v>0</v>
      </c>
      <c r="I6" s="12" t="n">
        <f aca="false">IFERROR(E6*F6,0)</f>
        <v>0</v>
      </c>
      <c r="J6" s="11" t="str">
        <f aca="false">IF(B6="","",IF(F6&lt;=G6,"Reorder!","OK"))</f>
        <v/>
      </c>
      <c r="K6" s="11" t="str">
        <f aca="false">IF(B6="","",SUMIFS('Order Tracker'!$G$3:$G$102,'Order Tracker'!$F$3:$F$102,B6))</f>
        <v/>
      </c>
      <c r="L6" s="12" t="str">
        <f aca="false">IF(B6="","",SUMIFS('Order Tracker'!$I$3:$I$102,'Order Tracker'!$F$3:$F$102,B6))</f>
        <v/>
      </c>
      <c r="M6" s="11" t="str">
        <f aca="false">IF(B6="","",RANK(L6,$L$3:$L$52)+COUNTIF($L$3:L6,L6)-1)</f>
        <v/>
      </c>
    </row>
    <row r="7" customFormat="false" ht="15" hidden="false" customHeight="false" outlineLevel="0" collapsed="false">
      <c r="A7" s="11"/>
      <c r="B7" s="11"/>
      <c r="C7" s="11"/>
      <c r="D7" s="12"/>
      <c r="E7" s="12"/>
      <c r="F7" s="11"/>
      <c r="G7" s="11"/>
      <c r="H7" s="12" t="n">
        <f aca="false">IFERROR(D7*F7,0)</f>
        <v>0</v>
      </c>
      <c r="I7" s="12" t="n">
        <f aca="false">IFERROR(E7*F7,0)</f>
        <v>0</v>
      </c>
      <c r="J7" s="11" t="str">
        <f aca="false">IF(B7="","",IF(F7&lt;=G7,"Reorder!","OK"))</f>
        <v/>
      </c>
      <c r="K7" s="11" t="str">
        <f aca="false">IF(B7="","",SUMIFS('Order Tracker'!$G$3:$G$102,'Order Tracker'!$F$3:$F$102,B7))</f>
        <v/>
      </c>
      <c r="L7" s="12" t="str">
        <f aca="false">IF(B7="","",SUMIFS('Order Tracker'!$I$3:$I$102,'Order Tracker'!$F$3:$F$102,B7))</f>
        <v/>
      </c>
      <c r="M7" s="11" t="str">
        <f aca="false">IF(B7="","",RANK(L7,$L$3:$L$52)+COUNTIF($L$3:L7,L7)-1)</f>
        <v/>
      </c>
    </row>
    <row r="8" customFormat="false" ht="15" hidden="false" customHeight="false" outlineLevel="0" collapsed="false">
      <c r="A8" s="11"/>
      <c r="B8" s="11"/>
      <c r="C8" s="11"/>
      <c r="D8" s="12"/>
      <c r="E8" s="12"/>
      <c r="F8" s="11"/>
      <c r="G8" s="11"/>
      <c r="H8" s="12" t="n">
        <f aca="false">IFERROR(D8*F8,0)</f>
        <v>0</v>
      </c>
      <c r="I8" s="12" t="n">
        <f aca="false">IFERROR(E8*F8,0)</f>
        <v>0</v>
      </c>
      <c r="J8" s="11" t="str">
        <f aca="false">IF(B8="","",IF(F8&lt;=G8,"Reorder!","OK"))</f>
        <v/>
      </c>
      <c r="K8" s="11" t="str">
        <f aca="false">IF(B8="","",SUMIFS('Order Tracker'!$G$3:$G$102,'Order Tracker'!$F$3:$F$102,B8))</f>
        <v/>
      </c>
      <c r="L8" s="12" t="str">
        <f aca="false">IF(B8="","",SUMIFS('Order Tracker'!$I$3:$I$102,'Order Tracker'!$F$3:$F$102,B8))</f>
        <v/>
      </c>
      <c r="M8" s="11" t="str">
        <f aca="false">IF(B8="","",RANK(L8,$L$3:$L$52)+COUNTIF($L$3:L8,L8)-1)</f>
        <v/>
      </c>
    </row>
    <row r="9" customFormat="false" ht="15" hidden="false" customHeight="false" outlineLevel="0" collapsed="false">
      <c r="A9" s="11"/>
      <c r="B9" s="11"/>
      <c r="C9" s="11"/>
      <c r="D9" s="12"/>
      <c r="E9" s="12"/>
      <c r="F9" s="11"/>
      <c r="G9" s="11"/>
      <c r="H9" s="12" t="n">
        <f aca="false">IFERROR(D9*F9,0)</f>
        <v>0</v>
      </c>
      <c r="I9" s="12" t="n">
        <f aca="false">IFERROR(E9*F9,0)</f>
        <v>0</v>
      </c>
      <c r="J9" s="11" t="str">
        <f aca="false">IF(B9="","",IF(F9&lt;=G9,"Reorder!","OK"))</f>
        <v/>
      </c>
      <c r="K9" s="11" t="str">
        <f aca="false">IF(B9="","",SUMIFS('Order Tracker'!$G$3:$G$102,'Order Tracker'!$F$3:$F$102,B9))</f>
        <v/>
      </c>
      <c r="L9" s="12" t="str">
        <f aca="false">IF(B9="","",SUMIFS('Order Tracker'!$I$3:$I$102,'Order Tracker'!$F$3:$F$102,B9))</f>
        <v/>
      </c>
      <c r="M9" s="11" t="str">
        <f aca="false">IF(B9="","",RANK(L9,$L$3:$L$52)+COUNTIF($L$3:L9,L9)-1)</f>
        <v/>
      </c>
    </row>
    <row r="10" customFormat="false" ht="15" hidden="false" customHeight="false" outlineLevel="0" collapsed="false">
      <c r="A10" s="11"/>
      <c r="B10" s="11"/>
      <c r="C10" s="11"/>
      <c r="D10" s="12"/>
      <c r="E10" s="12"/>
      <c r="F10" s="11"/>
      <c r="G10" s="11"/>
      <c r="H10" s="12" t="n">
        <f aca="false">IFERROR(D10*F10,0)</f>
        <v>0</v>
      </c>
      <c r="I10" s="12" t="n">
        <f aca="false">IFERROR(E10*F10,0)</f>
        <v>0</v>
      </c>
      <c r="J10" s="11" t="str">
        <f aca="false">IF(B10="","",IF(F10&lt;=G10,"Reorder!","OK"))</f>
        <v/>
      </c>
      <c r="K10" s="11" t="str">
        <f aca="false">IF(B10="","",SUMIFS('Order Tracker'!$G$3:$G$102,'Order Tracker'!$F$3:$F$102,B10))</f>
        <v/>
      </c>
      <c r="L10" s="12" t="str">
        <f aca="false">IF(B10="","",SUMIFS('Order Tracker'!$I$3:$I$102,'Order Tracker'!$F$3:$F$102,B10))</f>
        <v/>
      </c>
      <c r="M10" s="11" t="str">
        <f aca="false">IF(B10="","",RANK(L10,$L$3:$L$52)+COUNTIF($L$3:L10,L10)-1)</f>
        <v/>
      </c>
    </row>
    <row r="11" customFormat="false" ht="15" hidden="false" customHeight="false" outlineLevel="0" collapsed="false">
      <c r="A11" s="11"/>
      <c r="B11" s="11"/>
      <c r="C11" s="11"/>
      <c r="D11" s="12"/>
      <c r="E11" s="12"/>
      <c r="F11" s="11"/>
      <c r="G11" s="11"/>
      <c r="H11" s="12" t="n">
        <f aca="false">IFERROR(D11*F11,0)</f>
        <v>0</v>
      </c>
      <c r="I11" s="12" t="n">
        <f aca="false">IFERROR(E11*F11,0)</f>
        <v>0</v>
      </c>
      <c r="J11" s="11" t="str">
        <f aca="false">IF(B11="","",IF(F11&lt;=G11,"Reorder!","OK"))</f>
        <v/>
      </c>
      <c r="K11" s="11" t="str">
        <f aca="false">IF(B11="","",SUMIFS('Order Tracker'!$G$3:$G$102,'Order Tracker'!$F$3:$F$102,B11))</f>
        <v/>
      </c>
      <c r="L11" s="12" t="str">
        <f aca="false">IF(B11="","",SUMIFS('Order Tracker'!$I$3:$I$102,'Order Tracker'!$F$3:$F$102,B11))</f>
        <v/>
      </c>
      <c r="M11" s="11" t="str">
        <f aca="false">IF(B11="","",RANK(L11,$L$3:$L$52)+COUNTIF($L$3:L11,L11)-1)</f>
        <v/>
      </c>
    </row>
    <row r="12" customFormat="false" ht="15" hidden="false" customHeight="false" outlineLevel="0" collapsed="false">
      <c r="A12" s="11"/>
      <c r="B12" s="11"/>
      <c r="C12" s="11"/>
      <c r="D12" s="12"/>
      <c r="E12" s="12"/>
      <c r="F12" s="11"/>
      <c r="G12" s="11"/>
      <c r="H12" s="12" t="n">
        <f aca="false">IFERROR(D12*F12,0)</f>
        <v>0</v>
      </c>
      <c r="I12" s="12" t="n">
        <f aca="false">IFERROR(E12*F12,0)</f>
        <v>0</v>
      </c>
      <c r="J12" s="11" t="str">
        <f aca="false">IF(B12="","",IF(F12&lt;=G12,"Reorder!","OK"))</f>
        <v/>
      </c>
      <c r="K12" s="11" t="str">
        <f aca="false">IF(B12="","",SUMIFS('Order Tracker'!$G$3:$G$102,'Order Tracker'!$F$3:$F$102,B12))</f>
        <v/>
      </c>
      <c r="L12" s="12" t="str">
        <f aca="false">IF(B12="","",SUMIFS('Order Tracker'!$I$3:$I$102,'Order Tracker'!$F$3:$F$102,B12))</f>
        <v/>
      </c>
      <c r="M12" s="11" t="str">
        <f aca="false">IF(B12="","",RANK(L12,$L$3:$L$52)+COUNTIF($L$3:L12,L12)-1)</f>
        <v/>
      </c>
    </row>
    <row r="13" customFormat="false" ht="15" hidden="false" customHeight="false" outlineLevel="0" collapsed="false">
      <c r="A13" s="11"/>
      <c r="B13" s="11"/>
      <c r="C13" s="11"/>
      <c r="D13" s="12"/>
      <c r="E13" s="12"/>
      <c r="F13" s="11"/>
      <c r="G13" s="11"/>
      <c r="H13" s="12" t="n">
        <f aca="false">IFERROR(D13*F13,0)</f>
        <v>0</v>
      </c>
      <c r="I13" s="12" t="n">
        <f aca="false">IFERROR(E13*F13,0)</f>
        <v>0</v>
      </c>
      <c r="J13" s="11" t="str">
        <f aca="false">IF(B13="","",IF(F13&lt;=G13,"Reorder!","OK"))</f>
        <v/>
      </c>
      <c r="K13" s="11" t="str">
        <f aca="false">IF(B13="","",SUMIFS('Order Tracker'!$G$3:$G$102,'Order Tracker'!$F$3:$F$102,B13))</f>
        <v/>
      </c>
      <c r="L13" s="12" t="str">
        <f aca="false">IF(B13="","",SUMIFS('Order Tracker'!$I$3:$I$102,'Order Tracker'!$F$3:$F$102,B13))</f>
        <v/>
      </c>
      <c r="M13" s="11" t="str">
        <f aca="false">IF(B13="","",RANK(L13,$L$3:$L$52)+COUNTIF($L$3:L13,L13)-1)</f>
        <v/>
      </c>
    </row>
    <row r="14" customFormat="false" ht="15" hidden="false" customHeight="false" outlineLevel="0" collapsed="false">
      <c r="A14" s="11"/>
      <c r="B14" s="11"/>
      <c r="C14" s="11"/>
      <c r="D14" s="12"/>
      <c r="E14" s="12"/>
      <c r="F14" s="11"/>
      <c r="G14" s="11"/>
      <c r="H14" s="12" t="n">
        <f aca="false">IFERROR(D14*F14,0)</f>
        <v>0</v>
      </c>
      <c r="I14" s="12" t="n">
        <f aca="false">IFERROR(E14*F14,0)</f>
        <v>0</v>
      </c>
      <c r="J14" s="11" t="str">
        <f aca="false">IF(B14="","",IF(F14&lt;=G14,"Reorder!","OK"))</f>
        <v/>
      </c>
      <c r="K14" s="11" t="str">
        <f aca="false">IF(B14="","",SUMIFS('Order Tracker'!$G$3:$G$102,'Order Tracker'!$F$3:$F$102,B14))</f>
        <v/>
      </c>
      <c r="L14" s="12" t="str">
        <f aca="false">IF(B14="","",SUMIFS('Order Tracker'!$I$3:$I$102,'Order Tracker'!$F$3:$F$102,B14))</f>
        <v/>
      </c>
      <c r="M14" s="11" t="str">
        <f aca="false">IF(B14="","",RANK(L14,$L$3:$L$52)+COUNTIF($L$3:L14,L14)-1)</f>
        <v/>
      </c>
    </row>
    <row r="15" customFormat="false" ht="15" hidden="false" customHeight="false" outlineLevel="0" collapsed="false">
      <c r="A15" s="11"/>
      <c r="B15" s="11"/>
      <c r="C15" s="11"/>
      <c r="D15" s="12"/>
      <c r="E15" s="12"/>
      <c r="F15" s="11"/>
      <c r="G15" s="11"/>
      <c r="H15" s="12" t="n">
        <f aca="false">IFERROR(D15*F15,0)</f>
        <v>0</v>
      </c>
      <c r="I15" s="12" t="n">
        <f aca="false">IFERROR(E15*F15,0)</f>
        <v>0</v>
      </c>
      <c r="J15" s="11" t="str">
        <f aca="false">IF(B15="","",IF(F15&lt;=G15,"Reorder!","OK"))</f>
        <v/>
      </c>
      <c r="K15" s="11" t="str">
        <f aca="false">IF(B15="","",SUMIFS('Order Tracker'!$G$3:$G$102,'Order Tracker'!$F$3:$F$102,B15))</f>
        <v/>
      </c>
      <c r="L15" s="12" t="str">
        <f aca="false">IF(B15="","",SUMIFS('Order Tracker'!$I$3:$I$102,'Order Tracker'!$F$3:$F$102,B15))</f>
        <v/>
      </c>
      <c r="M15" s="11" t="str">
        <f aca="false">IF(B15="","",RANK(L15,$L$3:$L$52)+COUNTIF($L$3:L15,L15)-1)</f>
        <v/>
      </c>
    </row>
    <row r="16" customFormat="false" ht="15" hidden="false" customHeight="false" outlineLevel="0" collapsed="false">
      <c r="A16" s="11"/>
      <c r="B16" s="11"/>
      <c r="C16" s="11"/>
      <c r="D16" s="12"/>
      <c r="E16" s="12"/>
      <c r="F16" s="11"/>
      <c r="G16" s="11"/>
      <c r="H16" s="12" t="n">
        <f aca="false">IFERROR(D16*F16,0)</f>
        <v>0</v>
      </c>
      <c r="I16" s="12" t="n">
        <f aca="false">IFERROR(E16*F16,0)</f>
        <v>0</v>
      </c>
      <c r="J16" s="11" t="str">
        <f aca="false">IF(B16="","",IF(F16&lt;=G16,"Reorder!","OK"))</f>
        <v/>
      </c>
      <c r="K16" s="11" t="str">
        <f aca="false">IF(B16="","",SUMIFS('Order Tracker'!$G$3:$G$102,'Order Tracker'!$F$3:$F$102,B16))</f>
        <v/>
      </c>
      <c r="L16" s="12" t="str">
        <f aca="false">IF(B16="","",SUMIFS('Order Tracker'!$I$3:$I$102,'Order Tracker'!$F$3:$F$102,B16))</f>
        <v/>
      </c>
      <c r="M16" s="11" t="str">
        <f aca="false">IF(B16="","",RANK(L16,$L$3:$L$52)+COUNTIF($L$3:L16,L16)-1)</f>
        <v/>
      </c>
    </row>
    <row r="17" customFormat="false" ht="15" hidden="false" customHeight="false" outlineLevel="0" collapsed="false">
      <c r="A17" s="11"/>
      <c r="B17" s="11"/>
      <c r="C17" s="11"/>
      <c r="D17" s="12"/>
      <c r="E17" s="12"/>
      <c r="F17" s="11"/>
      <c r="G17" s="11"/>
      <c r="H17" s="12" t="n">
        <f aca="false">IFERROR(D17*F17,0)</f>
        <v>0</v>
      </c>
      <c r="I17" s="12" t="n">
        <f aca="false">IFERROR(E17*F17,0)</f>
        <v>0</v>
      </c>
      <c r="J17" s="11" t="str">
        <f aca="false">IF(B17="","",IF(F17&lt;=G17,"Reorder!","OK"))</f>
        <v/>
      </c>
      <c r="K17" s="11" t="str">
        <f aca="false">IF(B17="","",SUMIFS('Order Tracker'!$G$3:$G$102,'Order Tracker'!$F$3:$F$102,B17))</f>
        <v/>
      </c>
      <c r="L17" s="12" t="str">
        <f aca="false">IF(B17="","",SUMIFS('Order Tracker'!$I$3:$I$102,'Order Tracker'!$F$3:$F$102,B17))</f>
        <v/>
      </c>
      <c r="M17" s="11" t="str">
        <f aca="false">IF(B17="","",RANK(L17,$L$3:$L$52)+COUNTIF($L$3:L17,L17)-1)</f>
        <v/>
      </c>
    </row>
    <row r="18" customFormat="false" ht="15" hidden="false" customHeight="false" outlineLevel="0" collapsed="false">
      <c r="A18" s="11"/>
      <c r="B18" s="11"/>
      <c r="C18" s="11"/>
      <c r="D18" s="12"/>
      <c r="E18" s="12"/>
      <c r="F18" s="11"/>
      <c r="G18" s="11"/>
      <c r="H18" s="12" t="n">
        <f aca="false">IFERROR(D18*F18,0)</f>
        <v>0</v>
      </c>
      <c r="I18" s="12" t="n">
        <f aca="false">IFERROR(E18*F18,0)</f>
        <v>0</v>
      </c>
      <c r="J18" s="11" t="str">
        <f aca="false">IF(B18="","",IF(F18&lt;=G18,"Reorder!","OK"))</f>
        <v/>
      </c>
      <c r="K18" s="11" t="str">
        <f aca="false">IF(B18="","",SUMIFS('Order Tracker'!$G$3:$G$102,'Order Tracker'!$F$3:$F$102,B18))</f>
        <v/>
      </c>
      <c r="L18" s="12" t="str">
        <f aca="false">IF(B18="","",SUMIFS('Order Tracker'!$I$3:$I$102,'Order Tracker'!$F$3:$F$102,B18))</f>
        <v/>
      </c>
      <c r="M18" s="11" t="str">
        <f aca="false">IF(B18="","",RANK(L18,$L$3:$L$52)+COUNTIF($L$3:L18,L18)-1)</f>
        <v/>
      </c>
    </row>
    <row r="19" customFormat="false" ht="15" hidden="false" customHeight="false" outlineLevel="0" collapsed="false">
      <c r="A19" s="11"/>
      <c r="B19" s="11"/>
      <c r="C19" s="11"/>
      <c r="D19" s="12"/>
      <c r="E19" s="12"/>
      <c r="F19" s="11"/>
      <c r="G19" s="11"/>
      <c r="H19" s="12" t="n">
        <f aca="false">IFERROR(D19*F19,0)</f>
        <v>0</v>
      </c>
      <c r="I19" s="12" t="n">
        <f aca="false">IFERROR(E19*F19,0)</f>
        <v>0</v>
      </c>
      <c r="J19" s="11" t="str">
        <f aca="false">IF(B19="","",IF(F19&lt;=G19,"Reorder!","OK"))</f>
        <v/>
      </c>
      <c r="K19" s="11" t="str">
        <f aca="false">IF(B19="","",SUMIFS('Order Tracker'!$G$3:$G$102,'Order Tracker'!$F$3:$F$102,B19))</f>
        <v/>
      </c>
      <c r="L19" s="12" t="str">
        <f aca="false">IF(B19="","",SUMIFS('Order Tracker'!$I$3:$I$102,'Order Tracker'!$F$3:$F$102,B19))</f>
        <v/>
      </c>
      <c r="M19" s="11" t="str">
        <f aca="false">IF(B19="","",RANK(L19,$L$3:$L$52)+COUNTIF($L$3:L19,L19)-1)</f>
        <v/>
      </c>
    </row>
    <row r="20" customFormat="false" ht="15" hidden="false" customHeight="false" outlineLevel="0" collapsed="false">
      <c r="A20" s="11"/>
      <c r="B20" s="11"/>
      <c r="C20" s="11"/>
      <c r="D20" s="12"/>
      <c r="E20" s="12"/>
      <c r="F20" s="11"/>
      <c r="G20" s="11"/>
      <c r="H20" s="12" t="n">
        <f aca="false">IFERROR(D20*F20,0)</f>
        <v>0</v>
      </c>
      <c r="I20" s="12" t="n">
        <f aca="false">IFERROR(E20*F20,0)</f>
        <v>0</v>
      </c>
      <c r="J20" s="11" t="str">
        <f aca="false">IF(B20="","",IF(F20&lt;=G20,"Reorder!","OK"))</f>
        <v/>
      </c>
      <c r="K20" s="11" t="str">
        <f aca="false">IF(B20="","",SUMIFS('Order Tracker'!$G$3:$G$102,'Order Tracker'!$F$3:$F$102,B20))</f>
        <v/>
      </c>
      <c r="L20" s="12" t="str">
        <f aca="false">IF(B20="","",SUMIFS('Order Tracker'!$I$3:$I$102,'Order Tracker'!$F$3:$F$102,B20))</f>
        <v/>
      </c>
      <c r="M20" s="11" t="str">
        <f aca="false">IF(B20="","",RANK(L20,$L$3:$L$52)+COUNTIF($L$3:L20,L20)-1)</f>
        <v/>
      </c>
    </row>
    <row r="21" customFormat="false" ht="15" hidden="false" customHeight="false" outlineLevel="0" collapsed="false">
      <c r="A21" s="11"/>
      <c r="B21" s="11"/>
      <c r="C21" s="11"/>
      <c r="D21" s="12"/>
      <c r="E21" s="12"/>
      <c r="F21" s="11"/>
      <c r="G21" s="11"/>
      <c r="H21" s="12" t="n">
        <f aca="false">IFERROR(D21*F21,0)</f>
        <v>0</v>
      </c>
      <c r="I21" s="12" t="n">
        <f aca="false">IFERROR(E21*F21,0)</f>
        <v>0</v>
      </c>
      <c r="J21" s="11" t="str">
        <f aca="false">IF(B21="","",IF(F21&lt;=G21,"Reorder!","OK"))</f>
        <v/>
      </c>
      <c r="K21" s="11" t="str">
        <f aca="false">IF(B21="","",SUMIFS('Order Tracker'!$G$3:$G$102,'Order Tracker'!$F$3:$F$102,B21))</f>
        <v/>
      </c>
      <c r="L21" s="12" t="str">
        <f aca="false">IF(B21="","",SUMIFS('Order Tracker'!$I$3:$I$102,'Order Tracker'!$F$3:$F$102,B21))</f>
        <v/>
      </c>
      <c r="M21" s="11" t="str">
        <f aca="false">IF(B21="","",RANK(L21,$L$3:$L$52)+COUNTIF($L$3:L21,L21)-1)</f>
        <v/>
      </c>
    </row>
    <row r="22" customFormat="false" ht="15" hidden="false" customHeight="false" outlineLevel="0" collapsed="false">
      <c r="A22" s="11"/>
      <c r="B22" s="11"/>
      <c r="C22" s="11"/>
      <c r="D22" s="12"/>
      <c r="E22" s="12"/>
      <c r="F22" s="11"/>
      <c r="G22" s="11"/>
      <c r="H22" s="12" t="n">
        <f aca="false">IFERROR(D22*F22,0)</f>
        <v>0</v>
      </c>
      <c r="I22" s="12" t="n">
        <f aca="false">IFERROR(E22*F22,0)</f>
        <v>0</v>
      </c>
      <c r="J22" s="11" t="str">
        <f aca="false">IF(B22="","",IF(F22&lt;=G22,"Reorder!","OK"))</f>
        <v/>
      </c>
      <c r="K22" s="11" t="str">
        <f aca="false">IF(B22="","",SUMIFS('Order Tracker'!$G$3:$G$102,'Order Tracker'!$F$3:$F$102,B22))</f>
        <v/>
      </c>
      <c r="L22" s="12" t="str">
        <f aca="false">IF(B22="","",SUMIFS('Order Tracker'!$I$3:$I$102,'Order Tracker'!$F$3:$F$102,B22))</f>
        <v/>
      </c>
      <c r="M22" s="11" t="str">
        <f aca="false">IF(B22="","",RANK(L22,$L$3:$L$52)+COUNTIF($L$3:L22,L22)-1)</f>
        <v/>
      </c>
    </row>
    <row r="23" customFormat="false" ht="15" hidden="false" customHeight="false" outlineLevel="0" collapsed="false">
      <c r="A23" s="11"/>
      <c r="B23" s="11"/>
      <c r="C23" s="11"/>
      <c r="D23" s="12"/>
      <c r="E23" s="12"/>
      <c r="F23" s="11"/>
      <c r="G23" s="11"/>
      <c r="H23" s="12" t="n">
        <f aca="false">IFERROR(D23*F23,0)</f>
        <v>0</v>
      </c>
      <c r="I23" s="12" t="n">
        <f aca="false">IFERROR(E23*F23,0)</f>
        <v>0</v>
      </c>
      <c r="J23" s="11" t="str">
        <f aca="false">IF(B23="","",IF(F23&lt;=G23,"Reorder!","OK"))</f>
        <v/>
      </c>
      <c r="K23" s="11" t="str">
        <f aca="false">IF(B23="","",SUMIFS('Order Tracker'!$G$3:$G$102,'Order Tracker'!$F$3:$F$102,B23))</f>
        <v/>
      </c>
      <c r="L23" s="12" t="str">
        <f aca="false">IF(B23="","",SUMIFS('Order Tracker'!$I$3:$I$102,'Order Tracker'!$F$3:$F$102,B23))</f>
        <v/>
      </c>
      <c r="M23" s="11" t="str">
        <f aca="false">IF(B23="","",RANK(L23,$L$3:$L$52)+COUNTIF($L$3:L23,L23)-1)</f>
        <v/>
      </c>
    </row>
    <row r="24" customFormat="false" ht="15" hidden="false" customHeight="false" outlineLevel="0" collapsed="false">
      <c r="A24" s="11"/>
      <c r="B24" s="11"/>
      <c r="C24" s="11"/>
      <c r="D24" s="12"/>
      <c r="E24" s="12"/>
      <c r="F24" s="11"/>
      <c r="G24" s="11"/>
      <c r="H24" s="12" t="n">
        <f aca="false">IFERROR(D24*F24,0)</f>
        <v>0</v>
      </c>
      <c r="I24" s="12" t="n">
        <f aca="false">IFERROR(E24*F24,0)</f>
        <v>0</v>
      </c>
      <c r="J24" s="11" t="str">
        <f aca="false">IF(B24="","",IF(F24&lt;=G24,"Reorder!","OK"))</f>
        <v/>
      </c>
      <c r="K24" s="11" t="str">
        <f aca="false">IF(B24="","",SUMIFS('Order Tracker'!$G$3:$G$102,'Order Tracker'!$F$3:$F$102,B24))</f>
        <v/>
      </c>
      <c r="L24" s="12" t="str">
        <f aca="false">IF(B24="","",SUMIFS('Order Tracker'!$I$3:$I$102,'Order Tracker'!$F$3:$F$102,B24))</f>
        <v/>
      </c>
      <c r="M24" s="11" t="str">
        <f aca="false">IF(B24="","",RANK(L24,$L$3:$L$52)+COUNTIF($L$3:L24,L24)-1)</f>
        <v/>
      </c>
    </row>
    <row r="25" customFormat="false" ht="15" hidden="false" customHeight="false" outlineLevel="0" collapsed="false">
      <c r="A25" s="11"/>
      <c r="B25" s="11"/>
      <c r="C25" s="11"/>
      <c r="D25" s="12"/>
      <c r="E25" s="12"/>
      <c r="F25" s="11"/>
      <c r="G25" s="11"/>
      <c r="H25" s="12" t="n">
        <f aca="false">IFERROR(D25*F25,0)</f>
        <v>0</v>
      </c>
      <c r="I25" s="12" t="n">
        <f aca="false">IFERROR(E25*F25,0)</f>
        <v>0</v>
      </c>
      <c r="J25" s="11" t="str">
        <f aca="false">IF(B25="","",IF(F25&lt;=G25,"Reorder!","OK"))</f>
        <v/>
      </c>
      <c r="K25" s="11" t="str">
        <f aca="false">IF(B25="","",SUMIFS('Order Tracker'!$G$3:$G$102,'Order Tracker'!$F$3:$F$102,B25))</f>
        <v/>
      </c>
      <c r="L25" s="12" t="str">
        <f aca="false">IF(B25="","",SUMIFS('Order Tracker'!$I$3:$I$102,'Order Tracker'!$F$3:$F$102,B25))</f>
        <v/>
      </c>
      <c r="M25" s="11" t="str">
        <f aca="false">IF(B25="","",RANK(L25,$L$3:$L$52)+COUNTIF($L$3:L25,L25)-1)</f>
        <v/>
      </c>
    </row>
    <row r="26" customFormat="false" ht="15" hidden="false" customHeight="false" outlineLevel="0" collapsed="false">
      <c r="A26" s="11"/>
      <c r="B26" s="11"/>
      <c r="C26" s="11"/>
      <c r="D26" s="12"/>
      <c r="E26" s="12"/>
      <c r="F26" s="11"/>
      <c r="G26" s="11"/>
      <c r="H26" s="12" t="n">
        <f aca="false">IFERROR(D26*F26,0)</f>
        <v>0</v>
      </c>
      <c r="I26" s="12" t="n">
        <f aca="false">IFERROR(E26*F26,0)</f>
        <v>0</v>
      </c>
      <c r="J26" s="11" t="str">
        <f aca="false">IF(B26="","",IF(F26&lt;=G26,"Reorder!","OK"))</f>
        <v/>
      </c>
      <c r="K26" s="11" t="str">
        <f aca="false">IF(B26="","",SUMIFS('Order Tracker'!$G$3:$G$102,'Order Tracker'!$F$3:$F$102,B26))</f>
        <v/>
      </c>
      <c r="L26" s="12" t="str">
        <f aca="false">IF(B26="","",SUMIFS('Order Tracker'!$I$3:$I$102,'Order Tracker'!$F$3:$F$102,B26))</f>
        <v/>
      </c>
      <c r="M26" s="11" t="str">
        <f aca="false">IF(B26="","",RANK(L26,$L$3:$L$52)+COUNTIF($L$3:L26,L26)-1)</f>
        <v/>
      </c>
    </row>
    <row r="27" customFormat="false" ht="15" hidden="false" customHeight="false" outlineLevel="0" collapsed="false">
      <c r="A27" s="11"/>
      <c r="B27" s="11"/>
      <c r="C27" s="11"/>
      <c r="D27" s="12"/>
      <c r="E27" s="12"/>
      <c r="F27" s="11"/>
      <c r="G27" s="11"/>
      <c r="H27" s="12" t="n">
        <f aca="false">IFERROR(D27*F27,0)</f>
        <v>0</v>
      </c>
      <c r="I27" s="12" t="n">
        <f aca="false">IFERROR(E27*F27,0)</f>
        <v>0</v>
      </c>
      <c r="J27" s="11" t="str">
        <f aca="false">IF(B27="","",IF(F27&lt;=G27,"Reorder!","OK"))</f>
        <v/>
      </c>
      <c r="K27" s="11" t="str">
        <f aca="false">IF(B27="","",SUMIFS('Order Tracker'!$G$3:$G$102,'Order Tracker'!$F$3:$F$102,B27))</f>
        <v/>
      </c>
      <c r="L27" s="12" t="str">
        <f aca="false">IF(B27="","",SUMIFS('Order Tracker'!$I$3:$I$102,'Order Tracker'!$F$3:$F$102,B27))</f>
        <v/>
      </c>
      <c r="M27" s="11" t="str">
        <f aca="false">IF(B27="","",RANK(L27,$L$3:$L$52)+COUNTIF($L$3:L27,L27)-1)</f>
        <v/>
      </c>
    </row>
    <row r="28" customFormat="false" ht="15" hidden="false" customHeight="false" outlineLevel="0" collapsed="false">
      <c r="A28" s="11"/>
      <c r="B28" s="11"/>
      <c r="C28" s="11"/>
      <c r="D28" s="12"/>
      <c r="E28" s="12"/>
      <c r="F28" s="11"/>
      <c r="G28" s="11"/>
      <c r="H28" s="12" t="n">
        <f aca="false">IFERROR(D28*F28,0)</f>
        <v>0</v>
      </c>
      <c r="I28" s="12" t="n">
        <f aca="false">IFERROR(E28*F28,0)</f>
        <v>0</v>
      </c>
      <c r="J28" s="11" t="str">
        <f aca="false">IF(B28="","",IF(F28&lt;=G28,"Reorder!","OK"))</f>
        <v/>
      </c>
      <c r="K28" s="11" t="str">
        <f aca="false">IF(B28="","",SUMIFS('Order Tracker'!$G$3:$G$102,'Order Tracker'!$F$3:$F$102,B28))</f>
        <v/>
      </c>
      <c r="L28" s="12" t="str">
        <f aca="false">IF(B28="","",SUMIFS('Order Tracker'!$I$3:$I$102,'Order Tracker'!$F$3:$F$102,B28))</f>
        <v/>
      </c>
      <c r="M28" s="11" t="str">
        <f aca="false">IF(B28="","",RANK(L28,$L$3:$L$52)+COUNTIF($L$3:L28,L28)-1)</f>
        <v/>
      </c>
    </row>
    <row r="29" customFormat="false" ht="15" hidden="false" customHeight="false" outlineLevel="0" collapsed="false">
      <c r="A29" s="11"/>
      <c r="B29" s="11"/>
      <c r="C29" s="11"/>
      <c r="D29" s="12"/>
      <c r="E29" s="12"/>
      <c r="F29" s="11"/>
      <c r="G29" s="11"/>
      <c r="H29" s="12" t="n">
        <f aca="false">IFERROR(D29*F29,0)</f>
        <v>0</v>
      </c>
      <c r="I29" s="12" t="n">
        <f aca="false">IFERROR(E29*F29,0)</f>
        <v>0</v>
      </c>
      <c r="J29" s="11" t="str">
        <f aca="false">IF(B29="","",IF(F29&lt;=G29,"Reorder!","OK"))</f>
        <v/>
      </c>
      <c r="K29" s="11" t="str">
        <f aca="false">IF(B29="","",SUMIFS('Order Tracker'!$G$3:$G$102,'Order Tracker'!$F$3:$F$102,B29))</f>
        <v/>
      </c>
      <c r="L29" s="12" t="str">
        <f aca="false">IF(B29="","",SUMIFS('Order Tracker'!$I$3:$I$102,'Order Tracker'!$F$3:$F$102,B29))</f>
        <v/>
      </c>
      <c r="M29" s="11" t="str">
        <f aca="false">IF(B29="","",RANK(L29,$L$3:$L$52)+COUNTIF($L$3:L29,L29)-1)</f>
        <v/>
      </c>
    </row>
    <row r="30" customFormat="false" ht="15" hidden="false" customHeight="false" outlineLevel="0" collapsed="false">
      <c r="A30" s="11"/>
      <c r="B30" s="11"/>
      <c r="C30" s="11"/>
      <c r="D30" s="12"/>
      <c r="E30" s="12"/>
      <c r="F30" s="11"/>
      <c r="G30" s="11"/>
      <c r="H30" s="12" t="n">
        <f aca="false">IFERROR(D30*F30,0)</f>
        <v>0</v>
      </c>
      <c r="I30" s="12" t="n">
        <f aca="false">IFERROR(E30*F30,0)</f>
        <v>0</v>
      </c>
      <c r="J30" s="11" t="str">
        <f aca="false">IF(B30="","",IF(F30&lt;=G30,"Reorder!","OK"))</f>
        <v/>
      </c>
      <c r="K30" s="11" t="str">
        <f aca="false">IF(B30="","",SUMIFS('Order Tracker'!$G$3:$G$102,'Order Tracker'!$F$3:$F$102,B30))</f>
        <v/>
      </c>
      <c r="L30" s="12" t="str">
        <f aca="false">IF(B30="","",SUMIFS('Order Tracker'!$I$3:$I$102,'Order Tracker'!$F$3:$F$102,B30))</f>
        <v/>
      </c>
      <c r="M30" s="11" t="str">
        <f aca="false">IF(B30="","",RANK(L30,$L$3:$L$52)+COUNTIF($L$3:L30,L30)-1)</f>
        <v/>
      </c>
    </row>
    <row r="31" customFormat="false" ht="15" hidden="false" customHeight="false" outlineLevel="0" collapsed="false">
      <c r="A31" s="11"/>
      <c r="B31" s="11"/>
      <c r="C31" s="11"/>
      <c r="D31" s="12"/>
      <c r="E31" s="12"/>
      <c r="F31" s="11"/>
      <c r="G31" s="11"/>
      <c r="H31" s="12" t="n">
        <f aca="false">IFERROR(D31*F31,0)</f>
        <v>0</v>
      </c>
      <c r="I31" s="12" t="n">
        <f aca="false">IFERROR(E31*F31,0)</f>
        <v>0</v>
      </c>
      <c r="J31" s="11" t="str">
        <f aca="false">IF(B31="","",IF(F31&lt;=G31,"Reorder!","OK"))</f>
        <v/>
      </c>
      <c r="K31" s="11" t="str">
        <f aca="false">IF(B31="","",SUMIFS('Order Tracker'!$G$3:$G$102,'Order Tracker'!$F$3:$F$102,B31))</f>
        <v/>
      </c>
      <c r="L31" s="12" t="str">
        <f aca="false">IF(B31="","",SUMIFS('Order Tracker'!$I$3:$I$102,'Order Tracker'!$F$3:$F$102,B31))</f>
        <v/>
      </c>
      <c r="M31" s="11" t="str">
        <f aca="false">IF(B31="","",RANK(L31,$L$3:$L$52)+COUNTIF($L$3:L31,L31)-1)</f>
        <v/>
      </c>
    </row>
    <row r="32" customFormat="false" ht="15" hidden="false" customHeight="false" outlineLevel="0" collapsed="false">
      <c r="A32" s="11"/>
      <c r="B32" s="11"/>
      <c r="C32" s="11"/>
      <c r="D32" s="12"/>
      <c r="E32" s="12"/>
      <c r="F32" s="11"/>
      <c r="G32" s="11"/>
      <c r="H32" s="12" t="n">
        <f aca="false">IFERROR(D32*F32,0)</f>
        <v>0</v>
      </c>
      <c r="I32" s="12" t="n">
        <f aca="false">IFERROR(E32*F32,0)</f>
        <v>0</v>
      </c>
      <c r="J32" s="11" t="str">
        <f aca="false">IF(B32="","",IF(F32&lt;=G32,"Reorder!","OK"))</f>
        <v/>
      </c>
      <c r="K32" s="11" t="str">
        <f aca="false">IF(B32="","",SUMIFS('Order Tracker'!$G$3:$G$102,'Order Tracker'!$F$3:$F$102,B32))</f>
        <v/>
      </c>
      <c r="L32" s="12" t="str">
        <f aca="false">IF(B32="","",SUMIFS('Order Tracker'!$I$3:$I$102,'Order Tracker'!$F$3:$F$102,B32))</f>
        <v/>
      </c>
      <c r="M32" s="11" t="str">
        <f aca="false">IF(B32="","",RANK(L32,$L$3:$L$52)+COUNTIF($L$3:L32,L32)-1)</f>
        <v/>
      </c>
    </row>
    <row r="33" customFormat="false" ht="15" hidden="false" customHeight="false" outlineLevel="0" collapsed="false">
      <c r="A33" s="11"/>
      <c r="B33" s="11"/>
      <c r="C33" s="11"/>
      <c r="D33" s="12"/>
      <c r="E33" s="12"/>
      <c r="F33" s="11"/>
      <c r="G33" s="11"/>
      <c r="H33" s="12" t="n">
        <f aca="false">IFERROR(D33*F33,0)</f>
        <v>0</v>
      </c>
      <c r="I33" s="12" t="n">
        <f aca="false">IFERROR(E33*F33,0)</f>
        <v>0</v>
      </c>
      <c r="J33" s="11" t="str">
        <f aca="false">IF(B33="","",IF(F33&lt;=G33,"Reorder!","OK"))</f>
        <v/>
      </c>
      <c r="K33" s="11" t="str">
        <f aca="false">IF(B33="","",SUMIFS('Order Tracker'!$G$3:$G$102,'Order Tracker'!$F$3:$F$102,B33))</f>
        <v/>
      </c>
      <c r="L33" s="12" t="str">
        <f aca="false">IF(B33="","",SUMIFS('Order Tracker'!$I$3:$I$102,'Order Tracker'!$F$3:$F$102,B33))</f>
        <v/>
      </c>
      <c r="M33" s="11" t="str">
        <f aca="false">IF(B33="","",RANK(L33,$L$3:$L$52)+COUNTIF($L$3:L33,L33)-1)</f>
        <v/>
      </c>
    </row>
    <row r="34" customFormat="false" ht="15" hidden="false" customHeight="false" outlineLevel="0" collapsed="false">
      <c r="A34" s="11"/>
      <c r="B34" s="11"/>
      <c r="C34" s="11"/>
      <c r="D34" s="12"/>
      <c r="E34" s="12"/>
      <c r="F34" s="11"/>
      <c r="G34" s="11"/>
      <c r="H34" s="12" t="n">
        <f aca="false">IFERROR(D34*F34,0)</f>
        <v>0</v>
      </c>
      <c r="I34" s="12" t="n">
        <f aca="false">IFERROR(E34*F34,0)</f>
        <v>0</v>
      </c>
      <c r="J34" s="11" t="str">
        <f aca="false">IF(B34="","",IF(F34&lt;=G34,"Reorder!","OK"))</f>
        <v/>
      </c>
      <c r="K34" s="11" t="str">
        <f aca="false">IF(B34="","",SUMIFS('Order Tracker'!$G$3:$G$102,'Order Tracker'!$F$3:$F$102,B34))</f>
        <v/>
      </c>
      <c r="L34" s="12" t="str">
        <f aca="false">IF(B34="","",SUMIFS('Order Tracker'!$I$3:$I$102,'Order Tracker'!$F$3:$F$102,B34))</f>
        <v/>
      </c>
      <c r="M34" s="11" t="str">
        <f aca="false">IF(B34="","",RANK(L34,$L$3:$L$52)+COUNTIF($L$3:L34,L34)-1)</f>
        <v/>
      </c>
    </row>
    <row r="35" customFormat="false" ht="15" hidden="false" customHeight="false" outlineLevel="0" collapsed="false">
      <c r="A35" s="11"/>
      <c r="B35" s="11"/>
      <c r="C35" s="11"/>
      <c r="D35" s="12"/>
      <c r="E35" s="12"/>
      <c r="F35" s="11"/>
      <c r="G35" s="11"/>
      <c r="H35" s="12" t="n">
        <f aca="false">IFERROR(D35*F35,0)</f>
        <v>0</v>
      </c>
      <c r="I35" s="12" t="n">
        <f aca="false">IFERROR(E35*F35,0)</f>
        <v>0</v>
      </c>
      <c r="J35" s="11" t="str">
        <f aca="false">IF(B35="","",IF(F35&lt;=G35,"Reorder!","OK"))</f>
        <v/>
      </c>
      <c r="K35" s="11" t="str">
        <f aca="false">IF(B35="","",SUMIFS('Order Tracker'!$G$3:$G$102,'Order Tracker'!$F$3:$F$102,B35))</f>
        <v/>
      </c>
      <c r="L35" s="12" t="str">
        <f aca="false">IF(B35="","",SUMIFS('Order Tracker'!$I$3:$I$102,'Order Tracker'!$F$3:$F$102,B35))</f>
        <v/>
      </c>
      <c r="M35" s="11" t="str">
        <f aca="false">IF(B35="","",RANK(L35,$L$3:$L$52)+COUNTIF($L$3:L35,L35)-1)</f>
        <v/>
      </c>
    </row>
    <row r="36" customFormat="false" ht="15" hidden="false" customHeight="false" outlineLevel="0" collapsed="false">
      <c r="A36" s="11"/>
      <c r="B36" s="11"/>
      <c r="C36" s="11"/>
      <c r="D36" s="12"/>
      <c r="E36" s="12"/>
      <c r="F36" s="11"/>
      <c r="G36" s="11"/>
      <c r="H36" s="12" t="n">
        <f aca="false">IFERROR(D36*F36,0)</f>
        <v>0</v>
      </c>
      <c r="I36" s="12" t="n">
        <f aca="false">IFERROR(E36*F36,0)</f>
        <v>0</v>
      </c>
      <c r="J36" s="11" t="str">
        <f aca="false">IF(B36="","",IF(F36&lt;=G36,"Reorder!","OK"))</f>
        <v/>
      </c>
      <c r="K36" s="11" t="str">
        <f aca="false">IF(B36="","",SUMIFS('Order Tracker'!$G$3:$G$102,'Order Tracker'!$F$3:$F$102,B36))</f>
        <v/>
      </c>
      <c r="L36" s="12" t="str">
        <f aca="false">IF(B36="","",SUMIFS('Order Tracker'!$I$3:$I$102,'Order Tracker'!$F$3:$F$102,B36))</f>
        <v/>
      </c>
      <c r="M36" s="11" t="str">
        <f aca="false">IF(B36="","",RANK(L36,$L$3:$L$52)+COUNTIF($L$3:L36,L36)-1)</f>
        <v/>
      </c>
    </row>
    <row r="37" customFormat="false" ht="15" hidden="false" customHeight="false" outlineLevel="0" collapsed="false">
      <c r="A37" s="11"/>
      <c r="B37" s="11"/>
      <c r="C37" s="11"/>
      <c r="D37" s="12"/>
      <c r="E37" s="12"/>
      <c r="F37" s="11"/>
      <c r="G37" s="11"/>
      <c r="H37" s="12" t="n">
        <f aca="false">IFERROR(D37*F37,0)</f>
        <v>0</v>
      </c>
      <c r="I37" s="12" t="n">
        <f aca="false">IFERROR(E37*F37,0)</f>
        <v>0</v>
      </c>
      <c r="J37" s="11" t="str">
        <f aca="false">IF(B37="","",IF(F37&lt;=G37,"Reorder!","OK"))</f>
        <v/>
      </c>
      <c r="K37" s="11" t="str">
        <f aca="false">IF(B37="","",SUMIFS('Order Tracker'!$G$3:$G$102,'Order Tracker'!$F$3:$F$102,B37))</f>
        <v/>
      </c>
      <c r="L37" s="12" t="str">
        <f aca="false">IF(B37="","",SUMIFS('Order Tracker'!$I$3:$I$102,'Order Tracker'!$F$3:$F$102,B37))</f>
        <v/>
      </c>
      <c r="M37" s="11" t="str">
        <f aca="false">IF(B37="","",RANK(L37,$L$3:$L$52)+COUNTIF($L$3:L37,L37)-1)</f>
        <v/>
      </c>
    </row>
    <row r="38" customFormat="false" ht="15" hidden="false" customHeight="false" outlineLevel="0" collapsed="false">
      <c r="A38" s="11"/>
      <c r="B38" s="11"/>
      <c r="C38" s="11"/>
      <c r="D38" s="12"/>
      <c r="E38" s="12"/>
      <c r="F38" s="11"/>
      <c r="G38" s="11"/>
      <c r="H38" s="12" t="n">
        <f aca="false">IFERROR(D38*F38,0)</f>
        <v>0</v>
      </c>
      <c r="I38" s="12" t="n">
        <f aca="false">IFERROR(E38*F38,0)</f>
        <v>0</v>
      </c>
      <c r="J38" s="11" t="str">
        <f aca="false">IF(B38="","",IF(F38&lt;=G38,"Reorder!","OK"))</f>
        <v/>
      </c>
      <c r="K38" s="11" t="str">
        <f aca="false">IF(B38="","",SUMIFS('Order Tracker'!$G$3:$G$102,'Order Tracker'!$F$3:$F$102,B38))</f>
        <v/>
      </c>
      <c r="L38" s="12" t="str">
        <f aca="false">IF(B38="","",SUMIFS('Order Tracker'!$I$3:$I$102,'Order Tracker'!$F$3:$F$102,B38))</f>
        <v/>
      </c>
      <c r="M38" s="11" t="str">
        <f aca="false">IF(B38="","",RANK(L38,$L$3:$L$52)+COUNTIF($L$3:L38,L38)-1)</f>
        <v/>
      </c>
    </row>
    <row r="39" customFormat="false" ht="15" hidden="false" customHeight="false" outlineLevel="0" collapsed="false">
      <c r="A39" s="11"/>
      <c r="B39" s="11"/>
      <c r="C39" s="11"/>
      <c r="D39" s="12"/>
      <c r="E39" s="12"/>
      <c r="F39" s="11"/>
      <c r="G39" s="11"/>
      <c r="H39" s="12" t="n">
        <f aca="false">IFERROR(D39*F39,0)</f>
        <v>0</v>
      </c>
      <c r="I39" s="12" t="n">
        <f aca="false">IFERROR(E39*F39,0)</f>
        <v>0</v>
      </c>
      <c r="J39" s="11" t="str">
        <f aca="false">IF(B39="","",IF(F39&lt;=G39,"Reorder!","OK"))</f>
        <v/>
      </c>
      <c r="K39" s="11" t="str">
        <f aca="false">IF(B39="","",SUMIFS('Order Tracker'!$G$3:$G$102,'Order Tracker'!$F$3:$F$102,B39))</f>
        <v/>
      </c>
      <c r="L39" s="12" t="str">
        <f aca="false">IF(B39="","",SUMIFS('Order Tracker'!$I$3:$I$102,'Order Tracker'!$F$3:$F$102,B39))</f>
        <v/>
      </c>
      <c r="M39" s="11" t="str">
        <f aca="false">IF(B39="","",RANK(L39,$L$3:$L$52)+COUNTIF($L$3:L39,L39)-1)</f>
        <v/>
      </c>
    </row>
    <row r="40" customFormat="false" ht="15" hidden="false" customHeight="false" outlineLevel="0" collapsed="false">
      <c r="A40" s="11"/>
      <c r="B40" s="11"/>
      <c r="C40" s="11"/>
      <c r="D40" s="12"/>
      <c r="E40" s="12"/>
      <c r="F40" s="11"/>
      <c r="G40" s="11"/>
      <c r="H40" s="12" t="n">
        <f aca="false">IFERROR(D40*F40,0)</f>
        <v>0</v>
      </c>
      <c r="I40" s="12" t="n">
        <f aca="false">IFERROR(E40*F40,0)</f>
        <v>0</v>
      </c>
      <c r="J40" s="11" t="str">
        <f aca="false">IF(B40="","",IF(F40&lt;=G40,"Reorder!","OK"))</f>
        <v/>
      </c>
      <c r="K40" s="11" t="str">
        <f aca="false">IF(B40="","",SUMIFS('Order Tracker'!$G$3:$G$102,'Order Tracker'!$F$3:$F$102,B40))</f>
        <v/>
      </c>
      <c r="L40" s="12" t="str">
        <f aca="false">IF(B40="","",SUMIFS('Order Tracker'!$I$3:$I$102,'Order Tracker'!$F$3:$F$102,B40))</f>
        <v/>
      </c>
      <c r="M40" s="11" t="str">
        <f aca="false">IF(B40="","",RANK(L40,$L$3:$L$52)+COUNTIF($L$3:L40,L40)-1)</f>
        <v/>
      </c>
    </row>
    <row r="41" customFormat="false" ht="15" hidden="false" customHeight="false" outlineLevel="0" collapsed="false">
      <c r="A41" s="11"/>
      <c r="B41" s="11"/>
      <c r="C41" s="11"/>
      <c r="D41" s="12"/>
      <c r="E41" s="12"/>
      <c r="F41" s="11"/>
      <c r="G41" s="11"/>
      <c r="H41" s="12" t="n">
        <f aca="false">IFERROR(D41*F41,0)</f>
        <v>0</v>
      </c>
      <c r="I41" s="12" t="n">
        <f aca="false">IFERROR(E41*F41,0)</f>
        <v>0</v>
      </c>
      <c r="J41" s="11" t="str">
        <f aca="false">IF(B41="","",IF(F41&lt;=G41,"Reorder!","OK"))</f>
        <v/>
      </c>
      <c r="K41" s="11" t="str">
        <f aca="false">IF(B41="","",SUMIFS('Order Tracker'!$G$3:$G$102,'Order Tracker'!$F$3:$F$102,B41))</f>
        <v/>
      </c>
      <c r="L41" s="12" t="str">
        <f aca="false">IF(B41="","",SUMIFS('Order Tracker'!$I$3:$I$102,'Order Tracker'!$F$3:$F$102,B41))</f>
        <v/>
      </c>
      <c r="M41" s="11" t="str">
        <f aca="false">IF(B41="","",RANK(L41,$L$3:$L$52)+COUNTIF($L$3:L41,L41)-1)</f>
        <v/>
      </c>
    </row>
    <row r="42" customFormat="false" ht="15" hidden="false" customHeight="false" outlineLevel="0" collapsed="false">
      <c r="A42" s="11"/>
      <c r="B42" s="11"/>
      <c r="C42" s="11"/>
      <c r="D42" s="12"/>
      <c r="E42" s="12"/>
      <c r="F42" s="11"/>
      <c r="G42" s="11"/>
      <c r="H42" s="12" t="n">
        <f aca="false">IFERROR(D42*F42,0)</f>
        <v>0</v>
      </c>
      <c r="I42" s="12" t="n">
        <f aca="false">IFERROR(E42*F42,0)</f>
        <v>0</v>
      </c>
      <c r="J42" s="11" t="str">
        <f aca="false">IF(B42="","",IF(F42&lt;=G42,"Reorder!","OK"))</f>
        <v/>
      </c>
      <c r="K42" s="11" t="str">
        <f aca="false">IF(B42="","",SUMIFS('Order Tracker'!$G$3:$G$102,'Order Tracker'!$F$3:$F$102,B42))</f>
        <v/>
      </c>
      <c r="L42" s="12" t="str">
        <f aca="false">IF(B42="","",SUMIFS('Order Tracker'!$I$3:$I$102,'Order Tracker'!$F$3:$F$102,B42))</f>
        <v/>
      </c>
      <c r="M42" s="11" t="str">
        <f aca="false">IF(B42="","",RANK(L42,$L$3:$L$52)+COUNTIF($L$3:L42,L42)-1)</f>
        <v/>
      </c>
    </row>
    <row r="43" customFormat="false" ht="15" hidden="false" customHeight="false" outlineLevel="0" collapsed="false">
      <c r="A43" s="11"/>
      <c r="B43" s="11"/>
      <c r="C43" s="11"/>
      <c r="D43" s="12"/>
      <c r="E43" s="12"/>
      <c r="F43" s="11"/>
      <c r="G43" s="11"/>
      <c r="H43" s="12" t="n">
        <f aca="false">IFERROR(D43*F43,0)</f>
        <v>0</v>
      </c>
      <c r="I43" s="12" t="n">
        <f aca="false">IFERROR(E43*F43,0)</f>
        <v>0</v>
      </c>
      <c r="J43" s="11" t="str">
        <f aca="false">IF(B43="","",IF(F43&lt;=G43,"Reorder!","OK"))</f>
        <v/>
      </c>
      <c r="K43" s="11" t="str">
        <f aca="false">IF(B43="","",SUMIFS('Order Tracker'!$G$3:$G$102,'Order Tracker'!$F$3:$F$102,B43))</f>
        <v/>
      </c>
      <c r="L43" s="12" t="str">
        <f aca="false">IF(B43="","",SUMIFS('Order Tracker'!$I$3:$I$102,'Order Tracker'!$F$3:$F$102,B43))</f>
        <v/>
      </c>
      <c r="M43" s="11" t="str">
        <f aca="false">IF(B43="","",RANK(L43,$L$3:$L$52)+COUNTIF($L$3:L43,L43)-1)</f>
        <v/>
      </c>
    </row>
    <row r="44" customFormat="false" ht="15" hidden="false" customHeight="false" outlineLevel="0" collapsed="false">
      <c r="A44" s="11"/>
      <c r="B44" s="11"/>
      <c r="C44" s="11"/>
      <c r="D44" s="12"/>
      <c r="E44" s="12"/>
      <c r="F44" s="11"/>
      <c r="G44" s="11"/>
      <c r="H44" s="12" t="n">
        <f aca="false">IFERROR(D44*F44,0)</f>
        <v>0</v>
      </c>
      <c r="I44" s="12" t="n">
        <f aca="false">IFERROR(E44*F44,0)</f>
        <v>0</v>
      </c>
      <c r="J44" s="11" t="str">
        <f aca="false">IF(B44="","",IF(F44&lt;=G44,"Reorder!","OK"))</f>
        <v/>
      </c>
      <c r="K44" s="11" t="str">
        <f aca="false">IF(B44="","",SUMIFS('Order Tracker'!$G$3:$G$102,'Order Tracker'!$F$3:$F$102,B44))</f>
        <v/>
      </c>
      <c r="L44" s="12" t="str">
        <f aca="false">IF(B44="","",SUMIFS('Order Tracker'!$I$3:$I$102,'Order Tracker'!$F$3:$F$102,B44))</f>
        <v/>
      </c>
      <c r="M44" s="11" t="str">
        <f aca="false">IF(B44="","",RANK(L44,$L$3:$L$52)+COUNTIF($L$3:L44,L44)-1)</f>
        <v/>
      </c>
    </row>
    <row r="45" customFormat="false" ht="15" hidden="false" customHeight="false" outlineLevel="0" collapsed="false">
      <c r="A45" s="11"/>
      <c r="B45" s="11"/>
      <c r="C45" s="11"/>
      <c r="D45" s="12"/>
      <c r="E45" s="12"/>
      <c r="F45" s="11"/>
      <c r="G45" s="11"/>
      <c r="H45" s="12" t="n">
        <f aca="false">IFERROR(D45*F45,0)</f>
        <v>0</v>
      </c>
      <c r="I45" s="12" t="n">
        <f aca="false">IFERROR(E45*F45,0)</f>
        <v>0</v>
      </c>
      <c r="J45" s="11" t="str">
        <f aca="false">IF(B45="","",IF(F45&lt;=G45,"Reorder!","OK"))</f>
        <v/>
      </c>
      <c r="K45" s="11" t="str">
        <f aca="false">IF(B45="","",SUMIFS('Order Tracker'!$G$3:$G$102,'Order Tracker'!$F$3:$F$102,B45))</f>
        <v/>
      </c>
      <c r="L45" s="12" t="str">
        <f aca="false">IF(B45="","",SUMIFS('Order Tracker'!$I$3:$I$102,'Order Tracker'!$F$3:$F$102,B45))</f>
        <v/>
      </c>
      <c r="M45" s="11" t="str">
        <f aca="false">IF(B45="","",RANK(L45,$L$3:$L$52)+COUNTIF($L$3:L45,L45)-1)</f>
        <v/>
      </c>
    </row>
    <row r="46" customFormat="false" ht="15" hidden="false" customHeight="false" outlineLevel="0" collapsed="false">
      <c r="A46" s="11"/>
      <c r="B46" s="11"/>
      <c r="C46" s="11"/>
      <c r="D46" s="12"/>
      <c r="E46" s="12"/>
      <c r="F46" s="11"/>
      <c r="G46" s="11"/>
      <c r="H46" s="12" t="n">
        <f aca="false">IFERROR(D46*F46,0)</f>
        <v>0</v>
      </c>
      <c r="I46" s="12" t="n">
        <f aca="false">IFERROR(E46*F46,0)</f>
        <v>0</v>
      </c>
      <c r="J46" s="11" t="str">
        <f aca="false">IF(B46="","",IF(F46&lt;=G46,"Reorder!","OK"))</f>
        <v/>
      </c>
      <c r="K46" s="11" t="str">
        <f aca="false">IF(B46="","",SUMIFS('Order Tracker'!$G$3:$G$102,'Order Tracker'!$F$3:$F$102,B46))</f>
        <v/>
      </c>
      <c r="L46" s="12" t="str">
        <f aca="false">IF(B46="","",SUMIFS('Order Tracker'!$I$3:$I$102,'Order Tracker'!$F$3:$F$102,B46))</f>
        <v/>
      </c>
      <c r="M46" s="11" t="str">
        <f aca="false">IF(B46="","",RANK(L46,$L$3:$L$52)+COUNTIF($L$3:L46,L46)-1)</f>
        <v/>
      </c>
    </row>
    <row r="47" customFormat="false" ht="15" hidden="false" customHeight="false" outlineLevel="0" collapsed="false">
      <c r="A47" s="11"/>
      <c r="B47" s="11"/>
      <c r="C47" s="11"/>
      <c r="D47" s="12"/>
      <c r="E47" s="12"/>
      <c r="F47" s="11"/>
      <c r="G47" s="11"/>
      <c r="H47" s="12" t="n">
        <f aca="false">IFERROR(D47*F47,0)</f>
        <v>0</v>
      </c>
      <c r="I47" s="12" t="n">
        <f aca="false">IFERROR(E47*F47,0)</f>
        <v>0</v>
      </c>
      <c r="J47" s="11" t="str">
        <f aca="false">IF(B47="","",IF(F47&lt;=G47,"Reorder!","OK"))</f>
        <v/>
      </c>
      <c r="K47" s="11" t="str">
        <f aca="false">IF(B47="","",SUMIFS('Order Tracker'!$G$3:$G$102,'Order Tracker'!$F$3:$F$102,B47))</f>
        <v/>
      </c>
      <c r="L47" s="12" t="str">
        <f aca="false">IF(B47="","",SUMIFS('Order Tracker'!$I$3:$I$102,'Order Tracker'!$F$3:$F$102,B47))</f>
        <v/>
      </c>
      <c r="M47" s="11" t="str">
        <f aca="false">IF(B47="","",RANK(L47,$L$3:$L$52)+COUNTIF($L$3:L47,L47)-1)</f>
        <v/>
      </c>
    </row>
    <row r="48" customFormat="false" ht="15" hidden="false" customHeight="false" outlineLevel="0" collapsed="false">
      <c r="A48" s="11"/>
      <c r="B48" s="11"/>
      <c r="C48" s="11"/>
      <c r="D48" s="12"/>
      <c r="E48" s="12"/>
      <c r="F48" s="11"/>
      <c r="G48" s="11"/>
      <c r="H48" s="12" t="n">
        <f aca="false">IFERROR(D48*F48,0)</f>
        <v>0</v>
      </c>
      <c r="I48" s="12" t="n">
        <f aca="false">IFERROR(E48*F48,0)</f>
        <v>0</v>
      </c>
      <c r="J48" s="11" t="str">
        <f aca="false">IF(B48="","",IF(F48&lt;=G48,"Reorder!","OK"))</f>
        <v/>
      </c>
      <c r="K48" s="11" t="str">
        <f aca="false">IF(B48="","",SUMIFS('Order Tracker'!$G$3:$G$102,'Order Tracker'!$F$3:$F$102,B48))</f>
        <v/>
      </c>
      <c r="L48" s="12" t="str">
        <f aca="false">IF(B48="","",SUMIFS('Order Tracker'!$I$3:$I$102,'Order Tracker'!$F$3:$F$102,B48))</f>
        <v/>
      </c>
      <c r="M48" s="11" t="str">
        <f aca="false">IF(B48="","",RANK(L48,$L$3:$L$52)+COUNTIF($L$3:L48,L48)-1)</f>
        <v/>
      </c>
    </row>
    <row r="49" customFormat="false" ht="15" hidden="false" customHeight="false" outlineLevel="0" collapsed="false">
      <c r="A49" s="11"/>
      <c r="B49" s="11"/>
      <c r="C49" s="11"/>
      <c r="D49" s="12"/>
      <c r="E49" s="12"/>
      <c r="F49" s="11"/>
      <c r="G49" s="11"/>
      <c r="H49" s="12" t="n">
        <f aca="false">IFERROR(D49*F49,0)</f>
        <v>0</v>
      </c>
      <c r="I49" s="12" t="n">
        <f aca="false">IFERROR(E49*F49,0)</f>
        <v>0</v>
      </c>
      <c r="J49" s="11" t="str">
        <f aca="false">IF(B49="","",IF(F49&lt;=G49,"Reorder!","OK"))</f>
        <v/>
      </c>
      <c r="K49" s="11" t="str">
        <f aca="false">IF(B49="","",SUMIFS('Order Tracker'!$G$3:$G$102,'Order Tracker'!$F$3:$F$102,B49))</f>
        <v/>
      </c>
      <c r="L49" s="12" t="str">
        <f aca="false">IF(B49="","",SUMIFS('Order Tracker'!$I$3:$I$102,'Order Tracker'!$F$3:$F$102,B49))</f>
        <v/>
      </c>
      <c r="M49" s="11" t="str">
        <f aca="false">IF(B49="","",RANK(L49,$L$3:$L$52)+COUNTIF($L$3:L49,L49)-1)</f>
        <v/>
      </c>
    </row>
    <row r="50" customFormat="false" ht="15" hidden="false" customHeight="false" outlineLevel="0" collapsed="false">
      <c r="A50" s="11"/>
      <c r="B50" s="11"/>
      <c r="C50" s="11"/>
      <c r="D50" s="12"/>
      <c r="E50" s="12"/>
      <c r="F50" s="11"/>
      <c r="G50" s="11"/>
      <c r="H50" s="12" t="n">
        <f aca="false">IFERROR(D50*F50,0)</f>
        <v>0</v>
      </c>
      <c r="I50" s="12" t="n">
        <f aca="false">IFERROR(E50*F50,0)</f>
        <v>0</v>
      </c>
      <c r="J50" s="11" t="str">
        <f aca="false">IF(B50="","",IF(F50&lt;=G50,"Reorder!","OK"))</f>
        <v/>
      </c>
      <c r="K50" s="11" t="str">
        <f aca="false">IF(B50="","",SUMIFS('Order Tracker'!$G$3:$G$102,'Order Tracker'!$F$3:$F$102,B50))</f>
        <v/>
      </c>
      <c r="L50" s="12" t="str">
        <f aca="false">IF(B50="","",SUMIFS('Order Tracker'!$I$3:$I$102,'Order Tracker'!$F$3:$F$102,B50))</f>
        <v/>
      </c>
      <c r="M50" s="11" t="str">
        <f aca="false">IF(B50="","",RANK(L50,$L$3:$L$52)+COUNTIF($L$3:L50,L50)-1)</f>
        <v/>
      </c>
    </row>
    <row r="51" customFormat="false" ht="15" hidden="false" customHeight="false" outlineLevel="0" collapsed="false">
      <c r="A51" s="11"/>
      <c r="B51" s="11"/>
      <c r="C51" s="11"/>
      <c r="D51" s="12"/>
      <c r="E51" s="12"/>
      <c r="F51" s="11"/>
      <c r="G51" s="11"/>
      <c r="H51" s="12" t="n">
        <f aca="false">IFERROR(D51*F51,0)</f>
        <v>0</v>
      </c>
      <c r="I51" s="12" t="n">
        <f aca="false">IFERROR(E51*F51,0)</f>
        <v>0</v>
      </c>
      <c r="J51" s="11" t="str">
        <f aca="false">IF(B51="","",IF(F51&lt;=G51,"Reorder!","OK"))</f>
        <v/>
      </c>
      <c r="K51" s="11" t="str">
        <f aca="false">IF(B51="","",SUMIFS('Order Tracker'!$G$3:$G$102,'Order Tracker'!$F$3:$F$102,B51))</f>
        <v/>
      </c>
      <c r="L51" s="12" t="str">
        <f aca="false">IF(B51="","",SUMIFS('Order Tracker'!$I$3:$I$102,'Order Tracker'!$F$3:$F$102,B51))</f>
        <v/>
      </c>
      <c r="M51" s="11" t="str">
        <f aca="false">IF(B51="","",RANK(L51,$L$3:$L$52)+COUNTIF($L$3:L51,L51)-1)</f>
        <v/>
      </c>
    </row>
    <row r="52" customFormat="false" ht="15" hidden="false" customHeight="false" outlineLevel="0" collapsed="false">
      <c r="A52" s="11"/>
      <c r="B52" s="11"/>
      <c r="C52" s="11"/>
      <c r="D52" s="12"/>
      <c r="E52" s="12"/>
      <c r="F52" s="11"/>
      <c r="G52" s="11"/>
      <c r="H52" s="12" t="n">
        <f aca="false">IFERROR(D52*F52,0)</f>
        <v>0</v>
      </c>
      <c r="I52" s="12" t="n">
        <f aca="false">IFERROR(E52*F52,0)</f>
        <v>0</v>
      </c>
      <c r="J52" s="11" t="str">
        <f aca="false">IF(B52="","",IF(F52&lt;=G52,"Reorder!","OK"))</f>
        <v/>
      </c>
      <c r="K52" s="11" t="str">
        <f aca="false">IF(B52="","",SUMIFS('Order Tracker'!$G$3:$G$102,'Order Tracker'!$F$3:$F$102,B52))</f>
        <v/>
      </c>
      <c r="L52" s="12" t="str">
        <f aca="false">IF(B52="","",SUMIFS('Order Tracker'!$I$3:$I$102,'Order Tracker'!$F$3:$F$102,B52))</f>
        <v/>
      </c>
      <c r="M52" s="11" t="str">
        <f aca="false">IF(B52="","",RANK(L52,$L$3:$L$52)+COUNTIF($L$3:L52,L52)-1)</f>
        <v/>
      </c>
    </row>
  </sheetData>
  <mergeCells count="1">
    <mergeCell ref="A1:M1"/>
  </mergeCells>
  <conditionalFormatting sqref="A3:M52">
    <cfRule type="expression" priority="2" aboveAverage="0" equalAverage="0" bottom="0" percent="0" rank="0" text="" dxfId="0">
      <formula>$J3="Reorder!"</formula>
    </cfRule>
  </conditionalFormatting>
  <dataValidations count="1">
    <dataValidation allowBlank="true" errorStyle="stop" operator="between" showDropDown="false" showErrorMessage="false" showInputMessage="false" sqref="C3:C52" type="list">
      <formula1>Setup!$A$9:$A$14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9" min="8" style="0" width="15"/>
    <col collapsed="false" customWidth="true" hidden="false" outlineLevel="0" max="11" min="10" style="0" width="13"/>
    <col collapsed="false" customWidth="true" hidden="false" outlineLevel="0" max="13" min="12" style="0" width="8"/>
  </cols>
  <sheetData>
    <row r="1" customFormat="false" ht="16.15" hidden="false" customHeight="fals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6.85" hidden="false" customHeight="false" outlineLevel="0" collapsed="false">
      <c r="A2" s="10" t="s">
        <v>63</v>
      </c>
      <c r="B2" s="10" t="s">
        <v>64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10" t="s">
        <v>75</v>
      </c>
    </row>
    <row r="3" customFormat="false" ht="15" hidden="false" customHeight="false" outlineLevel="0" collapsed="false">
      <c r="A3" s="11"/>
      <c r="B3" s="11" t="str">
        <f aca="false">IF(A3="","",COUNTIF($A$3:A3,A3))</f>
        <v/>
      </c>
      <c r="C3" s="11" t="str">
        <f aca="false">IF(A3="","",A3&amp;"-"&amp;B3)</f>
        <v/>
      </c>
      <c r="D3" s="13"/>
      <c r="E3" s="11"/>
      <c r="F3" s="11"/>
      <c r="G3" s="11"/>
      <c r="H3" s="12" t="str">
        <f aca="false">IF(F3="","",IFERROR(INDEX('Inventory Tracker'!$E$3:$E$52,MATCH(F3,'Inventory Tracker'!$B$3:$B$52,0)),0))</f>
        <v/>
      </c>
      <c r="I3" s="12" t="n">
        <f aca="false">IFERROR(G3*H3,0)</f>
        <v>0</v>
      </c>
      <c r="J3" s="11"/>
      <c r="K3" s="11"/>
      <c r="L3" s="11" t="n">
        <f aca="false">IFERROR(YEAR(D3),"")</f>
        <v>1899</v>
      </c>
      <c r="M3" s="11" t="n">
        <f aca="false">IFERROR(MONTH(D3),"")</f>
        <v>12</v>
      </c>
    </row>
    <row r="4" customFormat="false" ht="15" hidden="false" customHeight="false" outlineLevel="0" collapsed="false">
      <c r="A4" s="11"/>
      <c r="B4" s="11" t="str">
        <f aca="false">IF(A4="","",COUNTIF($A$3:A4,A4))</f>
        <v/>
      </c>
      <c r="C4" s="11" t="str">
        <f aca="false">IF(A4="","",A4&amp;"-"&amp;B4)</f>
        <v/>
      </c>
      <c r="D4" s="13"/>
      <c r="E4" s="11"/>
      <c r="F4" s="11"/>
      <c r="G4" s="11"/>
      <c r="H4" s="12" t="str">
        <f aca="false">IF(F4="","",IFERROR(INDEX('Inventory Tracker'!$E$3:$E$52,MATCH(F4,'Inventory Tracker'!$B$3:$B$52,0)),0))</f>
        <v/>
      </c>
      <c r="I4" s="12" t="n">
        <f aca="false">IFERROR(G4*H4,0)</f>
        <v>0</v>
      </c>
      <c r="J4" s="11"/>
      <c r="K4" s="11"/>
      <c r="L4" s="11" t="n">
        <f aca="false">IFERROR(YEAR(D4),"")</f>
        <v>1899</v>
      </c>
      <c r="M4" s="11" t="n">
        <f aca="false">IFERROR(MONTH(D4),"")</f>
        <v>12</v>
      </c>
    </row>
    <row r="5" customFormat="false" ht="15" hidden="false" customHeight="false" outlineLevel="0" collapsed="false">
      <c r="A5" s="11"/>
      <c r="B5" s="11" t="str">
        <f aca="false">IF(A5="","",COUNTIF($A$3:A5,A5))</f>
        <v/>
      </c>
      <c r="C5" s="11" t="str">
        <f aca="false">IF(A5="","",A5&amp;"-"&amp;B5)</f>
        <v/>
      </c>
      <c r="D5" s="13"/>
      <c r="E5" s="11"/>
      <c r="F5" s="11"/>
      <c r="G5" s="11"/>
      <c r="H5" s="12" t="str">
        <f aca="false">IF(F5="","",IFERROR(INDEX('Inventory Tracker'!$E$3:$E$52,MATCH(F5,'Inventory Tracker'!$B$3:$B$52,0)),0))</f>
        <v/>
      </c>
      <c r="I5" s="12" t="n">
        <f aca="false">IFERROR(G5*H5,0)</f>
        <v>0</v>
      </c>
      <c r="J5" s="11"/>
      <c r="K5" s="11"/>
      <c r="L5" s="11" t="n">
        <f aca="false">IFERROR(YEAR(D5),"")</f>
        <v>1899</v>
      </c>
      <c r="M5" s="11" t="n">
        <f aca="false">IFERROR(MONTH(D5),"")</f>
        <v>12</v>
      </c>
    </row>
    <row r="6" customFormat="false" ht="15" hidden="false" customHeight="false" outlineLevel="0" collapsed="false">
      <c r="A6" s="11"/>
      <c r="B6" s="11" t="str">
        <f aca="false">IF(A6="","",COUNTIF($A$3:A6,A6))</f>
        <v/>
      </c>
      <c r="C6" s="11" t="str">
        <f aca="false">IF(A6="","",A6&amp;"-"&amp;B6)</f>
        <v/>
      </c>
      <c r="D6" s="13"/>
      <c r="E6" s="11"/>
      <c r="F6" s="11"/>
      <c r="G6" s="11"/>
      <c r="H6" s="12" t="str">
        <f aca="false">IF(F6="","",IFERROR(INDEX('Inventory Tracker'!$E$3:$E$52,MATCH(F6,'Inventory Tracker'!$B$3:$B$52,0)),0))</f>
        <v/>
      </c>
      <c r="I6" s="12" t="n">
        <f aca="false">IFERROR(G6*H6,0)</f>
        <v>0</v>
      </c>
      <c r="J6" s="11"/>
      <c r="K6" s="11"/>
      <c r="L6" s="11" t="n">
        <f aca="false">IFERROR(YEAR(D6),"")</f>
        <v>1899</v>
      </c>
      <c r="M6" s="11" t="n">
        <f aca="false">IFERROR(MONTH(D6),"")</f>
        <v>12</v>
      </c>
    </row>
    <row r="7" customFormat="false" ht="15" hidden="false" customHeight="false" outlineLevel="0" collapsed="false">
      <c r="A7" s="11"/>
      <c r="B7" s="11" t="str">
        <f aca="false">IF(A7="","",COUNTIF($A$3:A7,A7))</f>
        <v/>
      </c>
      <c r="C7" s="11" t="str">
        <f aca="false">IF(A7="","",A7&amp;"-"&amp;B7)</f>
        <v/>
      </c>
      <c r="D7" s="13"/>
      <c r="E7" s="11"/>
      <c r="F7" s="11"/>
      <c r="G7" s="11"/>
      <c r="H7" s="12" t="str">
        <f aca="false">IF(F7="","",IFERROR(INDEX('Inventory Tracker'!$E$3:$E$52,MATCH(F7,'Inventory Tracker'!$B$3:$B$52,0)),0))</f>
        <v/>
      </c>
      <c r="I7" s="12" t="n">
        <f aca="false">IFERROR(G7*H7,0)</f>
        <v>0</v>
      </c>
      <c r="J7" s="11"/>
      <c r="K7" s="11"/>
      <c r="L7" s="11" t="n">
        <f aca="false">IFERROR(YEAR(D7),"")</f>
        <v>1899</v>
      </c>
      <c r="M7" s="11" t="n">
        <f aca="false">IFERROR(MONTH(D7),"")</f>
        <v>12</v>
      </c>
    </row>
    <row r="8" customFormat="false" ht="15" hidden="false" customHeight="false" outlineLevel="0" collapsed="false">
      <c r="A8" s="11"/>
      <c r="B8" s="11" t="str">
        <f aca="false">IF(A8="","",COUNTIF($A$3:A8,A8))</f>
        <v/>
      </c>
      <c r="C8" s="11" t="str">
        <f aca="false">IF(A8="","",A8&amp;"-"&amp;B8)</f>
        <v/>
      </c>
      <c r="D8" s="13"/>
      <c r="E8" s="11"/>
      <c r="F8" s="11"/>
      <c r="G8" s="11"/>
      <c r="H8" s="12" t="str">
        <f aca="false">IF(F8="","",IFERROR(INDEX('Inventory Tracker'!$E$3:$E$52,MATCH(F8,'Inventory Tracker'!$B$3:$B$52,0)),0))</f>
        <v/>
      </c>
      <c r="I8" s="12" t="n">
        <f aca="false">IFERROR(G8*H8,0)</f>
        <v>0</v>
      </c>
      <c r="J8" s="11"/>
      <c r="K8" s="11"/>
      <c r="L8" s="11" t="n">
        <f aca="false">IFERROR(YEAR(D8),"")</f>
        <v>1899</v>
      </c>
      <c r="M8" s="11" t="n">
        <f aca="false">IFERROR(MONTH(D8),"")</f>
        <v>12</v>
      </c>
    </row>
    <row r="9" customFormat="false" ht="15" hidden="false" customHeight="false" outlineLevel="0" collapsed="false">
      <c r="A9" s="11"/>
      <c r="B9" s="11" t="str">
        <f aca="false">IF(A9="","",COUNTIF($A$3:A9,A9))</f>
        <v/>
      </c>
      <c r="C9" s="11" t="str">
        <f aca="false">IF(A9="","",A9&amp;"-"&amp;B9)</f>
        <v/>
      </c>
      <c r="D9" s="13"/>
      <c r="E9" s="11"/>
      <c r="F9" s="11"/>
      <c r="G9" s="11"/>
      <c r="H9" s="12" t="str">
        <f aca="false">IF(F9="","",IFERROR(INDEX('Inventory Tracker'!$E$3:$E$52,MATCH(F9,'Inventory Tracker'!$B$3:$B$52,0)),0))</f>
        <v/>
      </c>
      <c r="I9" s="12" t="n">
        <f aca="false">IFERROR(G9*H9,0)</f>
        <v>0</v>
      </c>
      <c r="J9" s="11"/>
      <c r="K9" s="11"/>
      <c r="L9" s="11" t="n">
        <f aca="false">IFERROR(YEAR(D9),"")</f>
        <v>1899</v>
      </c>
      <c r="M9" s="11" t="n">
        <f aca="false">IFERROR(MONTH(D9),"")</f>
        <v>12</v>
      </c>
    </row>
    <row r="10" customFormat="false" ht="15" hidden="false" customHeight="false" outlineLevel="0" collapsed="false">
      <c r="A10" s="11"/>
      <c r="B10" s="11" t="str">
        <f aca="false">IF(A10="","",COUNTIF($A$3:A10,A10))</f>
        <v/>
      </c>
      <c r="C10" s="11" t="str">
        <f aca="false">IF(A10="","",A10&amp;"-"&amp;B10)</f>
        <v/>
      </c>
      <c r="D10" s="13"/>
      <c r="E10" s="11"/>
      <c r="F10" s="11"/>
      <c r="G10" s="11"/>
      <c r="H10" s="12" t="str">
        <f aca="false">IF(F10="","",IFERROR(INDEX('Inventory Tracker'!$E$3:$E$52,MATCH(F10,'Inventory Tracker'!$B$3:$B$52,0)),0))</f>
        <v/>
      </c>
      <c r="I10" s="12" t="n">
        <f aca="false">IFERROR(G10*H10,0)</f>
        <v>0</v>
      </c>
      <c r="J10" s="11"/>
      <c r="K10" s="11"/>
      <c r="L10" s="11" t="n">
        <f aca="false">IFERROR(YEAR(D10),"")</f>
        <v>1899</v>
      </c>
      <c r="M10" s="11" t="n">
        <f aca="false">IFERROR(MONTH(D10),"")</f>
        <v>12</v>
      </c>
    </row>
    <row r="11" customFormat="false" ht="15" hidden="false" customHeight="false" outlineLevel="0" collapsed="false">
      <c r="A11" s="11"/>
      <c r="B11" s="11" t="str">
        <f aca="false">IF(A11="","",COUNTIF($A$3:A11,A11))</f>
        <v/>
      </c>
      <c r="C11" s="11" t="str">
        <f aca="false">IF(A11="","",A11&amp;"-"&amp;B11)</f>
        <v/>
      </c>
      <c r="D11" s="13"/>
      <c r="E11" s="11"/>
      <c r="F11" s="11"/>
      <c r="G11" s="11"/>
      <c r="H11" s="12" t="str">
        <f aca="false">IF(F11="","",IFERROR(INDEX('Inventory Tracker'!$E$3:$E$52,MATCH(F11,'Inventory Tracker'!$B$3:$B$52,0)),0))</f>
        <v/>
      </c>
      <c r="I11" s="12" t="n">
        <f aca="false">IFERROR(G11*H11,0)</f>
        <v>0</v>
      </c>
      <c r="J11" s="11"/>
      <c r="K11" s="11"/>
      <c r="L11" s="11" t="n">
        <f aca="false">IFERROR(YEAR(D11),"")</f>
        <v>1899</v>
      </c>
      <c r="M11" s="11" t="n">
        <f aca="false">IFERROR(MONTH(D11),"")</f>
        <v>12</v>
      </c>
    </row>
    <row r="12" customFormat="false" ht="15" hidden="false" customHeight="false" outlineLevel="0" collapsed="false">
      <c r="A12" s="11"/>
      <c r="B12" s="11" t="str">
        <f aca="false">IF(A12="","",COUNTIF($A$3:A12,A12))</f>
        <v/>
      </c>
      <c r="C12" s="11" t="str">
        <f aca="false">IF(A12="","",A12&amp;"-"&amp;B12)</f>
        <v/>
      </c>
      <c r="D12" s="13"/>
      <c r="E12" s="11"/>
      <c r="F12" s="11"/>
      <c r="G12" s="11"/>
      <c r="H12" s="12" t="str">
        <f aca="false">IF(F12="","",IFERROR(INDEX('Inventory Tracker'!$E$3:$E$52,MATCH(F12,'Inventory Tracker'!$B$3:$B$52,0)),0))</f>
        <v/>
      </c>
      <c r="I12" s="12" t="n">
        <f aca="false">IFERROR(G12*H12,0)</f>
        <v>0</v>
      </c>
      <c r="J12" s="11"/>
      <c r="K12" s="11"/>
      <c r="L12" s="11" t="n">
        <f aca="false">IFERROR(YEAR(D12),"")</f>
        <v>1899</v>
      </c>
      <c r="M12" s="11" t="n">
        <f aca="false">IFERROR(MONTH(D12),"")</f>
        <v>12</v>
      </c>
    </row>
    <row r="13" customFormat="false" ht="15" hidden="false" customHeight="false" outlineLevel="0" collapsed="false">
      <c r="A13" s="11"/>
      <c r="B13" s="11" t="str">
        <f aca="false">IF(A13="","",COUNTIF($A$3:A13,A13))</f>
        <v/>
      </c>
      <c r="C13" s="11" t="str">
        <f aca="false">IF(A13="","",A13&amp;"-"&amp;B13)</f>
        <v/>
      </c>
      <c r="D13" s="13"/>
      <c r="E13" s="11"/>
      <c r="F13" s="11"/>
      <c r="G13" s="11"/>
      <c r="H13" s="12" t="str">
        <f aca="false">IF(F13="","",IFERROR(INDEX('Inventory Tracker'!$E$3:$E$52,MATCH(F13,'Inventory Tracker'!$B$3:$B$52,0)),0))</f>
        <v/>
      </c>
      <c r="I13" s="12" t="n">
        <f aca="false">IFERROR(G13*H13,0)</f>
        <v>0</v>
      </c>
      <c r="J13" s="11"/>
      <c r="K13" s="11"/>
      <c r="L13" s="11" t="n">
        <f aca="false">IFERROR(YEAR(D13),"")</f>
        <v>1899</v>
      </c>
      <c r="M13" s="11" t="n">
        <f aca="false">IFERROR(MONTH(D13),"")</f>
        <v>12</v>
      </c>
    </row>
    <row r="14" customFormat="false" ht="15" hidden="false" customHeight="false" outlineLevel="0" collapsed="false">
      <c r="A14" s="11"/>
      <c r="B14" s="11" t="str">
        <f aca="false">IF(A14="","",COUNTIF($A$3:A14,A14))</f>
        <v/>
      </c>
      <c r="C14" s="11" t="str">
        <f aca="false">IF(A14="","",A14&amp;"-"&amp;B14)</f>
        <v/>
      </c>
      <c r="D14" s="13"/>
      <c r="E14" s="11"/>
      <c r="F14" s="11"/>
      <c r="G14" s="11"/>
      <c r="H14" s="12" t="str">
        <f aca="false">IF(F14="","",IFERROR(INDEX('Inventory Tracker'!$E$3:$E$52,MATCH(F14,'Inventory Tracker'!$B$3:$B$52,0)),0))</f>
        <v/>
      </c>
      <c r="I14" s="12" t="n">
        <f aca="false">IFERROR(G14*H14,0)</f>
        <v>0</v>
      </c>
      <c r="J14" s="11"/>
      <c r="K14" s="11"/>
      <c r="L14" s="11" t="n">
        <f aca="false">IFERROR(YEAR(D14),"")</f>
        <v>1899</v>
      </c>
      <c r="M14" s="11" t="n">
        <f aca="false">IFERROR(MONTH(D14),"")</f>
        <v>12</v>
      </c>
    </row>
    <row r="15" customFormat="false" ht="15" hidden="false" customHeight="false" outlineLevel="0" collapsed="false">
      <c r="A15" s="11"/>
      <c r="B15" s="11" t="str">
        <f aca="false">IF(A15="","",COUNTIF($A$3:A15,A15))</f>
        <v/>
      </c>
      <c r="C15" s="11" t="str">
        <f aca="false">IF(A15="","",A15&amp;"-"&amp;B15)</f>
        <v/>
      </c>
      <c r="D15" s="13"/>
      <c r="E15" s="11"/>
      <c r="F15" s="11"/>
      <c r="G15" s="11"/>
      <c r="H15" s="12" t="str">
        <f aca="false">IF(F15="","",IFERROR(INDEX('Inventory Tracker'!$E$3:$E$52,MATCH(F15,'Inventory Tracker'!$B$3:$B$52,0)),0))</f>
        <v/>
      </c>
      <c r="I15" s="12" t="n">
        <f aca="false">IFERROR(G15*H15,0)</f>
        <v>0</v>
      </c>
      <c r="J15" s="11"/>
      <c r="K15" s="11"/>
      <c r="L15" s="11" t="n">
        <f aca="false">IFERROR(YEAR(D15),"")</f>
        <v>1899</v>
      </c>
      <c r="M15" s="11" t="n">
        <f aca="false">IFERROR(MONTH(D15),"")</f>
        <v>12</v>
      </c>
    </row>
    <row r="16" customFormat="false" ht="15" hidden="false" customHeight="false" outlineLevel="0" collapsed="false">
      <c r="A16" s="11"/>
      <c r="B16" s="11" t="str">
        <f aca="false">IF(A16="","",COUNTIF($A$3:A16,A16))</f>
        <v/>
      </c>
      <c r="C16" s="11" t="str">
        <f aca="false">IF(A16="","",A16&amp;"-"&amp;B16)</f>
        <v/>
      </c>
      <c r="D16" s="13"/>
      <c r="E16" s="11"/>
      <c r="F16" s="11"/>
      <c r="G16" s="11"/>
      <c r="H16" s="12" t="str">
        <f aca="false">IF(F16="","",IFERROR(INDEX('Inventory Tracker'!$E$3:$E$52,MATCH(F16,'Inventory Tracker'!$B$3:$B$52,0)),0))</f>
        <v/>
      </c>
      <c r="I16" s="12" t="n">
        <f aca="false">IFERROR(G16*H16,0)</f>
        <v>0</v>
      </c>
      <c r="J16" s="11"/>
      <c r="K16" s="11"/>
      <c r="L16" s="11" t="n">
        <f aca="false">IFERROR(YEAR(D16),"")</f>
        <v>1899</v>
      </c>
      <c r="M16" s="11" t="n">
        <f aca="false">IFERROR(MONTH(D16),"")</f>
        <v>12</v>
      </c>
    </row>
    <row r="17" customFormat="false" ht="15" hidden="false" customHeight="false" outlineLevel="0" collapsed="false">
      <c r="A17" s="11"/>
      <c r="B17" s="11" t="str">
        <f aca="false">IF(A17="","",COUNTIF($A$3:A17,A17))</f>
        <v/>
      </c>
      <c r="C17" s="11" t="str">
        <f aca="false">IF(A17="","",A17&amp;"-"&amp;B17)</f>
        <v/>
      </c>
      <c r="D17" s="13"/>
      <c r="E17" s="11"/>
      <c r="F17" s="11"/>
      <c r="G17" s="11"/>
      <c r="H17" s="12" t="str">
        <f aca="false">IF(F17="","",IFERROR(INDEX('Inventory Tracker'!$E$3:$E$52,MATCH(F17,'Inventory Tracker'!$B$3:$B$52,0)),0))</f>
        <v/>
      </c>
      <c r="I17" s="12" t="n">
        <f aca="false">IFERROR(G17*H17,0)</f>
        <v>0</v>
      </c>
      <c r="J17" s="11"/>
      <c r="K17" s="11"/>
      <c r="L17" s="11" t="n">
        <f aca="false">IFERROR(YEAR(D17),"")</f>
        <v>1899</v>
      </c>
      <c r="M17" s="11" t="n">
        <f aca="false">IFERROR(MONTH(D17),"")</f>
        <v>12</v>
      </c>
    </row>
    <row r="18" customFormat="false" ht="15" hidden="false" customHeight="false" outlineLevel="0" collapsed="false">
      <c r="A18" s="11"/>
      <c r="B18" s="11" t="str">
        <f aca="false">IF(A18="","",COUNTIF($A$3:A18,A18))</f>
        <v/>
      </c>
      <c r="C18" s="11" t="str">
        <f aca="false">IF(A18="","",A18&amp;"-"&amp;B18)</f>
        <v/>
      </c>
      <c r="D18" s="13"/>
      <c r="E18" s="11"/>
      <c r="F18" s="11"/>
      <c r="G18" s="11"/>
      <c r="H18" s="12" t="str">
        <f aca="false">IF(F18="","",IFERROR(INDEX('Inventory Tracker'!$E$3:$E$52,MATCH(F18,'Inventory Tracker'!$B$3:$B$52,0)),0))</f>
        <v/>
      </c>
      <c r="I18" s="12" t="n">
        <f aca="false">IFERROR(G18*H18,0)</f>
        <v>0</v>
      </c>
      <c r="J18" s="11"/>
      <c r="K18" s="11"/>
      <c r="L18" s="11" t="n">
        <f aca="false">IFERROR(YEAR(D18),"")</f>
        <v>1899</v>
      </c>
      <c r="M18" s="11" t="n">
        <f aca="false">IFERROR(MONTH(D18),"")</f>
        <v>12</v>
      </c>
    </row>
    <row r="19" customFormat="false" ht="15" hidden="false" customHeight="false" outlineLevel="0" collapsed="false">
      <c r="A19" s="11"/>
      <c r="B19" s="11" t="str">
        <f aca="false">IF(A19="","",COUNTIF($A$3:A19,A19))</f>
        <v/>
      </c>
      <c r="C19" s="11" t="str">
        <f aca="false">IF(A19="","",A19&amp;"-"&amp;B19)</f>
        <v/>
      </c>
      <c r="D19" s="13"/>
      <c r="E19" s="11"/>
      <c r="F19" s="11"/>
      <c r="G19" s="11"/>
      <c r="H19" s="12" t="str">
        <f aca="false">IF(F19="","",IFERROR(INDEX('Inventory Tracker'!$E$3:$E$52,MATCH(F19,'Inventory Tracker'!$B$3:$B$52,0)),0))</f>
        <v/>
      </c>
      <c r="I19" s="12" t="n">
        <f aca="false">IFERROR(G19*H19,0)</f>
        <v>0</v>
      </c>
      <c r="J19" s="11"/>
      <c r="K19" s="11"/>
      <c r="L19" s="11" t="n">
        <f aca="false">IFERROR(YEAR(D19),"")</f>
        <v>1899</v>
      </c>
      <c r="M19" s="11" t="n">
        <f aca="false">IFERROR(MONTH(D19),"")</f>
        <v>12</v>
      </c>
    </row>
    <row r="20" customFormat="false" ht="15" hidden="false" customHeight="false" outlineLevel="0" collapsed="false">
      <c r="A20" s="11"/>
      <c r="B20" s="11" t="str">
        <f aca="false">IF(A20="","",COUNTIF($A$3:A20,A20))</f>
        <v/>
      </c>
      <c r="C20" s="11" t="str">
        <f aca="false">IF(A20="","",A20&amp;"-"&amp;B20)</f>
        <v/>
      </c>
      <c r="D20" s="13"/>
      <c r="E20" s="11"/>
      <c r="F20" s="11"/>
      <c r="G20" s="11"/>
      <c r="H20" s="12" t="str">
        <f aca="false">IF(F20="","",IFERROR(INDEX('Inventory Tracker'!$E$3:$E$52,MATCH(F20,'Inventory Tracker'!$B$3:$B$52,0)),0))</f>
        <v/>
      </c>
      <c r="I20" s="12" t="n">
        <f aca="false">IFERROR(G20*H20,0)</f>
        <v>0</v>
      </c>
      <c r="J20" s="11"/>
      <c r="K20" s="11"/>
      <c r="L20" s="11" t="n">
        <f aca="false">IFERROR(YEAR(D20),"")</f>
        <v>1899</v>
      </c>
      <c r="M20" s="11" t="n">
        <f aca="false">IFERROR(MONTH(D20),"")</f>
        <v>12</v>
      </c>
    </row>
    <row r="21" customFormat="false" ht="15" hidden="false" customHeight="false" outlineLevel="0" collapsed="false">
      <c r="A21" s="11"/>
      <c r="B21" s="11" t="str">
        <f aca="false">IF(A21="","",COUNTIF($A$3:A21,A21))</f>
        <v/>
      </c>
      <c r="C21" s="11" t="str">
        <f aca="false">IF(A21="","",A21&amp;"-"&amp;B21)</f>
        <v/>
      </c>
      <c r="D21" s="13"/>
      <c r="E21" s="11"/>
      <c r="F21" s="11"/>
      <c r="G21" s="11"/>
      <c r="H21" s="12" t="str">
        <f aca="false">IF(F21="","",IFERROR(INDEX('Inventory Tracker'!$E$3:$E$52,MATCH(F21,'Inventory Tracker'!$B$3:$B$52,0)),0))</f>
        <v/>
      </c>
      <c r="I21" s="12" t="n">
        <f aca="false">IFERROR(G21*H21,0)</f>
        <v>0</v>
      </c>
      <c r="J21" s="11"/>
      <c r="K21" s="11"/>
      <c r="L21" s="11" t="n">
        <f aca="false">IFERROR(YEAR(D21),"")</f>
        <v>1899</v>
      </c>
      <c r="M21" s="11" t="n">
        <f aca="false">IFERROR(MONTH(D21),"")</f>
        <v>12</v>
      </c>
    </row>
    <row r="22" customFormat="false" ht="15" hidden="false" customHeight="false" outlineLevel="0" collapsed="false">
      <c r="A22" s="11"/>
      <c r="B22" s="11" t="str">
        <f aca="false">IF(A22="","",COUNTIF($A$3:A22,A22))</f>
        <v/>
      </c>
      <c r="C22" s="11" t="str">
        <f aca="false">IF(A22="","",A22&amp;"-"&amp;B22)</f>
        <v/>
      </c>
      <c r="D22" s="13"/>
      <c r="E22" s="11"/>
      <c r="F22" s="11"/>
      <c r="G22" s="11"/>
      <c r="H22" s="12" t="str">
        <f aca="false">IF(F22="","",IFERROR(INDEX('Inventory Tracker'!$E$3:$E$52,MATCH(F22,'Inventory Tracker'!$B$3:$B$52,0)),0))</f>
        <v/>
      </c>
      <c r="I22" s="12" t="n">
        <f aca="false">IFERROR(G22*H22,0)</f>
        <v>0</v>
      </c>
      <c r="J22" s="11"/>
      <c r="K22" s="11"/>
      <c r="L22" s="11" t="n">
        <f aca="false">IFERROR(YEAR(D22),"")</f>
        <v>1899</v>
      </c>
      <c r="M22" s="11" t="n">
        <f aca="false">IFERROR(MONTH(D22),"")</f>
        <v>12</v>
      </c>
    </row>
    <row r="23" customFormat="false" ht="15" hidden="false" customHeight="false" outlineLevel="0" collapsed="false">
      <c r="A23" s="11"/>
      <c r="B23" s="11" t="str">
        <f aca="false">IF(A23="","",COUNTIF($A$3:A23,A23))</f>
        <v/>
      </c>
      <c r="C23" s="11" t="str">
        <f aca="false">IF(A23="","",A23&amp;"-"&amp;B23)</f>
        <v/>
      </c>
      <c r="D23" s="13"/>
      <c r="E23" s="11"/>
      <c r="F23" s="11"/>
      <c r="G23" s="11"/>
      <c r="H23" s="12" t="str">
        <f aca="false">IF(F23="","",IFERROR(INDEX('Inventory Tracker'!$E$3:$E$52,MATCH(F23,'Inventory Tracker'!$B$3:$B$52,0)),0))</f>
        <v/>
      </c>
      <c r="I23" s="12" t="n">
        <f aca="false">IFERROR(G23*H23,0)</f>
        <v>0</v>
      </c>
      <c r="J23" s="11"/>
      <c r="K23" s="11"/>
      <c r="L23" s="11" t="n">
        <f aca="false">IFERROR(YEAR(D23),"")</f>
        <v>1899</v>
      </c>
      <c r="M23" s="11" t="n">
        <f aca="false">IFERROR(MONTH(D23),"")</f>
        <v>12</v>
      </c>
    </row>
    <row r="24" customFormat="false" ht="15" hidden="false" customHeight="false" outlineLevel="0" collapsed="false">
      <c r="A24" s="11"/>
      <c r="B24" s="11" t="str">
        <f aca="false">IF(A24="","",COUNTIF($A$3:A24,A24))</f>
        <v/>
      </c>
      <c r="C24" s="11" t="str">
        <f aca="false">IF(A24="","",A24&amp;"-"&amp;B24)</f>
        <v/>
      </c>
      <c r="D24" s="13"/>
      <c r="E24" s="11"/>
      <c r="F24" s="11"/>
      <c r="G24" s="11"/>
      <c r="H24" s="12" t="str">
        <f aca="false">IF(F24="","",IFERROR(INDEX('Inventory Tracker'!$E$3:$E$52,MATCH(F24,'Inventory Tracker'!$B$3:$B$52,0)),0))</f>
        <v/>
      </c>
      <c r="I24" s="12" t="n">
        <f aca="false">IFERROR(G24*H24,0)</f>
        <v>0</v>
      </c>
      <c r="J24" s="11"/>
      <c r="K24" s="11"/>
      <c r="L24" s="11" t="n">
        <f aca="false">IFERROR(YEAR(D24),"")</f>
        <v>1899</v>
      </c>
      <c r="M24" s="11" t="n">
        <f aca="false">IFERROR(MONTH(D24),"")</f>
        <v>12</v>
      </c>
    </row>
    <row r="25" customFormat="false" ht="15" hidden="false" customHeight="false" outlineLevel="0" collapsed="false">
      <c r="A25" s="11"/>
      <c r="B25" s="11" t="str">
        <f aca="false">IF(A25="","",COUNTIF($A$3:A25,A25))</f>
        <v/>
      </c>
      <c r="C25" s="11" t="str">
        <f aca="false">IF(A25="","",A25&amp;"-"&amp;B25)</f>
        <v/>
      </c>
      <c r="D25" s="13"/>
      <c r="E25" s="11"/>
      <c r="F25" s="11"/>
      <c r="G25" s="11"/>
      <c r="H25" s="12" t="str">
        <f aca="false">IF(F25="","",IFERROR(INDEX('Inventory Tracker'!$E$3:$E$52,MATCH(F25,'Inventory Tracker'!$B$3:$B$52,0)),0))</f>
        <v/>
      </c>
      <c r="I25" s="12" t="n">
        <f aca="false">IFERROR(G25*H25,0)</f>
        <v>0</v>
      </c>
      <c r="J25" s="11"/>
      <c r="K25" s="11"/>
      <c r="L25" s="11" t="n">
        <f aca="false">IFERROR(YEAR(D25),"")</f>
        <v>1899</v>
      </c>
      <c r="M25" s="11" t="n">
        <f aca="false">IFERROR(MONTH(D25),"")</f>
        <v>12</v>
      </c>
    </row>
    <row r="26" customFormat="false" ht="15" hidden="false" customHeight="false" outlineLevel="0" collapsed="false">
      <c r="A26" s="11"/>
      <c r="B26" s="11" t="str">
        <f aca="false">IF(A26="","",COUNTIF($A$3:A26,A26))</f>
        <v/>
      </c>
      <c r="C26" s="11" t="str">
        <f aca="false">IF(A26="","",A26&amp;"-"&amp;B26)</f>
        <v/>
      </c>
      <c r="D26" s="13"/>
      <c r="E26" s="11"/>
      <c r="F26" s="11"/>
      <c r="G26" s="11"/>
      <c r="H26" s="12" t="str">
        <f aca="false">IF(F26="","",IFERROR(INDEX('Inventory Tracker'!$E$3:$E$52,MATCH(F26,'Inventory Tracker'!$B$3:$B$52,0)),0))</f>
        <v/>
      </c>
      <c r="I26" s="12" t="n">
        <f aca="false">IFERROR(G26*H26,0)</f>
        <v>0</v>
      </c>
      <c r="J26" s="11"/>
      <c r="K26" s="11"/>
      <c r="L26" s="11" t="n">
        <f aca="false">IFERROR(YEAR(D26),"")</f>
        <v>1899</v>
      </c>
      <c r="M26" s="11" t="n">
        <f aca="false">IFERROR(MONTH(D26),"")</f>
        <v>12</v>
      </c>
    </row>
    <row r="27" customFormat="false" ht="15" hidden="false" customHeight="false" outlineLevel="0" collapsed="false">
      <c r="A27" s="11"/>
      <c r="B27" s="11" t="str">
        <f aca="false">IF(A27="","",COUNTIF($A$3:A27,A27))</f>
        <v/>
      </c>
      <c r="C27" s="11" t="str">
        <f aca="false">IF(A27="","",A27&amp;"-"&amp;B27)</f>
        <v/>
      </c>
      <c r="D27" s="13"/>
      <c r="E27" s="11"/>
      <c r="F27" s="11"/>
      <c r="G27" s="11"/>
      <c r="H27" s="12" t="str">
        <f aca="false">IF(F27="","",IFERROR(INDEX('Inventory Tracker'!$E$3:$E$52,MATCH(F27,'Inventory Tracker'!$B$3:$B$52,0)),0))</f>
        <v/>
      </c>
      <c r="I27" s="12" t="n">
        <f aca="false">IFERROR(G27*H27,0)</f>
        <v>0</v>
      </c>
      <c r="J27" s="11"/>
      <c r="K27" s="11"/>
      <c r="L27" s="11" t="n">
        <f aca="false">IFERROR(YEAR(D27),"")</f>
        <v>1899</v>
      </c>
      <c r="M27" s="11" t="n">
        <f aca="false">IFERROR(MONTH(D27),"")</f>
        <v>12</v>
      </c>
    </row>
    <row r="28" customFormat="false" ht="15" hidden="false" customHeight="false" outlineLevel="0" collapsed="false">
      <c r="A28" s="11"/>
      <c r="B28" s="11" t="str">
        <f aca="false">IF(A28="","",COUNTIF($A$3:A28,A28))</f>
        <v/>
      </c>
      <c r="C28" s="11" t="str">
        <f aca="false">IF(A28="","",A28&amp;"-"&amp;B28)</f>
        <v/>
      </c>
      <c r="D28" s="13"/>
      <c r="E28" s="11"/>
      <c r="F28" s="11"/>
      <c r="G28" s="11"/>
      <c r="H28" s="12" t="str">
        <f aca="false">IF(F28="","",IFERROR(INDEX('Inventory Tracker'!$E$3:$E$52,MATCH(F28,'Inventory Tracker'!$B$3:$B$52,0)),0))</f>
        <v/>
      </c>
      <c r="I28" s="12" t="n">
        <f aca="false">IFERROR(G28*H28,0)</f>
        <v>0</v>
      </c>
      <c r="J28" s="11"/>
      <c r="K28" s="11"/>
      <c r="L28" s="11" t="n">
        <f aca="false">IFERROR(YEAR(D28),"")</f>
        <v>1899</v>
      </c>
      <c r="M28" s="11" t="n">
        <f aca="false">IFERROR(MONTH(D28),"")</f>
        <v>12</v>
      </c>
    </row>
    <row r="29" customFormat="false" ht="15" hidden="false" customHeight="false" outlineLevel="0" collapsed="false">
      <c r="A29" s="11"/>
      <c r="B29" s="11" t="str">
        <f aca="false">IF(A29="","",COUNTIF($A$3:A29,A29))</f>
        <v/>
      </c>
      <c r="C29" s="11" t="str">
        <f aca="false">IF(A29="","",A29&amp;"-"&amp;B29)</f>
        <v/>
      </c>
      <c r="D29" s="13"/>
      <c r="E29" s="11"/>
      <c r="F29" s="11"/>
      <c r="G29" s="11"/>
      <c r="H29" s="12" t="str">
        <f aca="false">IF(F29="","",IFERROR(INDEX('Inventory Tracker'!$E$3:$E$52,MATCH(F29,'Inventory Tracker'!$B$3:$B$52,0)),0))</f>
        <v/>
      </c>
      <c r="I29" s="12" t="n">
        <f aca="false">IFERROR(G29*H29,0)</f>
        <v>0</v>
      </c>
      <c r="J29" s="11"/>
      <c r="K29" s="11"/>
      <c r="L29" s="11" t="n">
        <f aca="false">IFERROR(YEAR(D29),"")</f>
        <v>1899</v>
      </c>
      <c r="M29" s="11" t="n">
        <f aca="false">IFERROR(MONTH(D29),"")</f>
        <v>12</v>
      </c>
    </row>
    <row r="30" customFormat="false" ht="15" hidden="false" customHeight="false" outlineLevel="0" collapsed="false">
      <c r="A30" s="11"/>
      <c r="B30" s="11" t="str">
        <f aca="false">IF(A30="","",COUNTIF($A$3:A30,A30))</f>
        <v/>
      </c>
      <c r="C30" s="11" t="str">
        <f aca="false">IF(A30="","",A30&amp;"-"&amp;B30)</f>
        <v/>
      </c>
      <c r="D30" s="13"/>
      <c r="E30" s="11"/>
      <c r="F30" s="11"/>
      <c r="G30" s="11"/>
      <c r="H30" s="12" t="str">
        <f aca="false">IF(F30="","",IFERROR(INDEX('Inventory Tracker'!$E$3:$E$52,MATCH(F30,'Inventory Tracker'!$B$3:$B$52,0)),0))</f>
        <v/>
      </c>
      <c r="I30" s="12" t="n">
        <f aca="false">IFERROR(G30*H30,0)</f>
        <v>0</v>
      </c>
      <c r="J30" s="11"/>
      <c r="K30" s="11"/>
      <c r="L30" s="11" t="n">
        <f aca="false">IFERROR(YEAR(D30),"")</f>
        <v>1899</v>
      </c>
      <c r="M30" s="11" t="n">
        <f aca="false">IFERROR(MONTH(D30),"")</f>
        <v>12</v>
      </c>
    </row>
    <row r="31" customFormat="false" ht="15" hidden="false" customHeight="false" outlineLevel="0" collapsed="false">
      <c r="A31" s="11"/>
      <c r="B31" s="11" t="str">
        <f aca="false">IF(A31="","",COUNTIF($A$3:A31,A31))</f>
        <v/>
      </c>
      <c r="C31" s="11" t="str">
        <f aca="false">IF(A31="","",A31&amp;"-"&amp;B31)</f>
        <v/>
      </c>
      <c r="D31" s="13"/>
      <c r="E31" s="11"/>
      <c r="F31" s="11"/>
      <c r="G31" s="11"/>
      <c r="H31" s="12" t="str">
        <f aca="false">IF(F31="","",IFERROR(INDEX('Inventory Tracker'!$E$3:$E$52,MATCH(F31,'Inventory Tracker'!$B$3:$B$52,0)),0))</f>
        <v/>
      </c>
      <c r="I31" s="12" t="n">
        <f aca="false">IFERROR(G31*H31,0)</f>
        <v>0</v>
      </c>
      <c r="J31" s="11"/>
      <c r="K31" s="11"/>
      <c r="L31" s="11" t="n">
        <f aca="false">IFERROR(YEAR(D31),"")</f>
        <v>1899</v>
      </c>
      <c r="M31" s="11" t="n">
        <f aca="false">IFERROR(MONTH(D31),"")</f>
        <v>12</v>
      </c>
    </row>
    <row r="32" customFormat="false" ht="15" hidden="false" customHeight="false" outlineLevel="0" collapsed="false">
      <c r="A32" s="11"/>
      <c r="B32" s="11" t="str">
        <f aca="false">IF(A32="","",COUNTIF($A$3:A32,A32))</f>
        <v/>
      </c>
      <c r="C32" s="11" t="str">
        <f aca="false">IF(A32="","",A32&amp;"-"&amp;B32)</f>
        <v/>
      </c>
      <c r="D32" s="13"/>
      <c r="E32" s="11"/>
      <c r="F32" s="11"/>
      <c r="G32" s="11"/>
      <c r="H32" s="12" t="str">
        <f aca="false">IF(F32="","",IFERROR(INDEX('Inventory Tracker'!$E$3:$E$52,MATCH(F32,'Inventory Tracker'!$B$3:$B$52,0)),0))</f>
        <v/>
      </c>
      <c r="I32" s="12" t="n">
        <f aca="false">IFERROR(G32*H32,0)</f>
        <v>0</v>
      </c>
      <c r="J32" s="11"/>
      <c r="K32" s="11"/>
      <c r="L32" s="11" t="n">
        <f aca="false">IFERROR(YEAR(D32),"")</f>
        <v>1899</v>
      </c>
      <c r="M32" s="11" t="n">
        <f aca="false">IFERROR(MONTH(D32),"")</f>
        <v>12</v>
      </c>
    </row>
    <row r="33" customFormat="false" ht="15" hidden="false" customHeight="false" outlineLevel="0" collapsed="false">
      <c r="A33" s="11"/>
      <c r="B33" s="11" t="str">
        <f aca="false">IF(A33="","",COUNTIF($A$3:A33,A33))</f>
        <v/>
      </c>
      <c r="C33" s="11" t="str">
        <f aca="false">IF(A33="","",A33&amp;"-"&amp;B33)</f>
        <v/>
      </c>
      <c r="D33" s="13"/>
      <c r="E33" s="11"/>
      <c r="F33" s="11"/>
      <c r="G33" s="11"/>
      <c r="H33" s="12" t="str">
        <f aca="false">IF(F33="","",IFERROR(INDEX('Inventory Tracker'!$E$3:$E$52,MATCH(F33,'Inventory Tracker'!$B$3:$B$52,0)),0))</f>
        <v/>
      </c>
      <c r="I33" s="12" t="n">
        <f aca="false">IFERROR(G33*H33,0)</f>
        <v>0</v>
      </c>
      <c r="J33" s="11"/>
      <c r="K33" s="11"/>
      <c r="L33" s="11" t="n">
        <f aca="false">IFERROR(YEAR(D33),"")</f>
        <v>1899</v>
      </c>
      <c r="M33" s="11" t="n">
        <f aca="false">IFERROR(MONTH(D33),"")</f>
        <v>12</v>
      </c>
    </row>
    <row r="34" customFormat="false" ht="15" hidden="false" customHeight="false" outlineLevel="0" collapsed="false">
      <c r="A34" s="11"/>
      <c r="B34" s="11" t="str">
        <f aca="false">IF(A34="","",COUNTIF($A$3:A34,A34))</f>
        <v/>
      </c>
      <c r="C34" s="11" t="str">
        <f aca="false">IF(A34="","",A34&amp;"-"&amp;B34)</f>
        <v/>
      </c>
      <c r="D34" s="13"/>
      <c r="E34" s="11"/>
      <c r="F34" s="11"/>
      <c r="G34" s="11"/>
      <c r="H34" s="12" t="str">
        <f aca="false">IF(F34="","",IFERROR(INDEX('Inventory Tracker'!$E$3:$E$52,MATCH(F34,'Inventory Tracker'!$B$3:$B$52,0)),0))</f>
        <v/>
      </c>
      <c r="I34" s="12" t="n">
        <f aca="false">IFERROR(G34*H34,0)</f>
        <v>0</v>
      </c>
      <c r="J34" s="11"/>
      <c r="K34" s="11"/>
      <c r="L34" s="11" t="n">
        <f aca="false">IFERROR(YEAR(D34),"")</f>
        <v>1899</v>
      </c>
      <c r="M34" s="11" t="n">
        <f aca="false">IFERROR(MONTH(D34),"")</f>
        <v>12</v>
      </c>
    </row>
    <row r="35" customFormat="false" ht="15" hidden="false" customHeight="false" outlineLevel="0" collapsed="false">
      <c r="A35" s="11"/>
      <c r="B35" s="11" t="str">
        <f aca="false">IF(A35="","",COUNTIF($A$3:A35,A35))</f>
        <v/>
      </c>
      <c r="C35" s="11" t="str">
        <f aca="false">IF(A35="","",A35&amp;"-"&amp;B35)</f>
        <v/>
      </c>
      <c r="D35" s="13"/>
      <c r="E35" s="11"/>
      <c r="F35" s="11"/>
      <c r="G35" s="11"/>
      <c r="H35" s="12" t="str">
        <f aca="false">IF(F35="","",IFERROR(INDEX('Inventory Tracker'!$E$3:$E$52,MATCH(F35,'Inventory Tracker'!$B$3:$B$52,0)),0))</f>
        <v/>
      </c>
      <c r="I35" s="12" t="n">
        <f aca="false">IFERROR(G35*H35,0)</f>
        <v>0</v>
      </c>
      <c r="J35" s="11"/>
      <c r="K35" s="11"/>
      <c r="L35" s="11" t="n">
        <f aca="false">IFERROR(YEAR(D35),"")</f>
        <v>1899</v>
      </c>
      <c r="M35" s="11" t="n">
        <f aca="false">IFERROR(MONTH(D35),"")</f>
        <v>12</v>
      </c>
    </row>
    <row r="36" customFormat="false" ht="15" hidden="false" customHeight="false" outlineLevel="0" collapsed="false">
      <c r="A36" s="11"/>
      <c r="B36" s="11" t="str">
        <f aca="false">IF(A36="","",COUNTIF($A$3:A36,A36))</f>
        <v/>
      </c>
      <c r="C36" s="11" t="str">
        <f aca="false">IF(A36="","",A36&amp;"-"&amp;B36)</f>
        <v/>
      </c>
      <c r="D36" s="13"/>
      <c r="E36" s="11"/>
      <c r="F36" s="11"/>
      <c r="G36" s="11"/>
      <c r="H36" s="12" t="str">
        <f aca="false">IF(F36="","",IFERROR(INDEX('Inventory Tracker'!$E$3:$E$52,MATCH(F36,'Inventory Tracker'!$B$3:$B$52,0)),0))</f>
        <v/>
      </c>
      <c r="I36" s="12" t="n">
        <f aca="false">IFERROR(G36*H36,0)</f>
        <v>0</v>
      </c>
      <c r="J36" s="11"/>
      <c r="K36" s="11"/>
      <c r="L36" s="11" t="n">
        <f aca="false">IFERROR(YEAR(D36),"")</f>
        <v>1899</v>
      </c>
      <c r="M36" s="11" t="n">
        <f aca="false">IFERROR(MONTH(D36),"")</f>
        <v>12</v>
      </c>
    </row>
    <row r="37" customFormat="false" ht="15" hidden="false" customHeight="false" outlineLevel="0" collapsed="false">
      <c r="A37" s="11"/>
      <c r="B37" s="11" t="str">
        <f aca="false">IF(A37="","",COUNTIF($A$3:A37,A37))</f>
        <v/>
      </c>
      <c r="C37" s="11" t="str">
        <f aca="false">IF(A37="","",A37&amp;"-"&amp;B37)</f>
        <v/>
      </c>
      <c r="D37" s="13"/>
      <c r="E37" s="11"/>
      <c r="F37" s="11"/>
      <c r="G37" s="11"/>
      <c r="H37" s="12" t="str">
        <f aca="false">IF(F37="","",IFERROR(INDEX('Inventory Tracker'!$E$3:$E$52,MATCH(F37,'Inventory Tracker'!$B$3:$B$52,0)),0))</f>
        <v/>
      </c>
      <c r="I37" s="12" t="n">
        <f aca="false">IFERROR(G37*H37,0)</f>
        <v>0</v>
      </c>
      <c r="J37" s="11"/>
      <c r="K37" s="11"/>
      <c r="L37" s="11" t="n">
        <f aca="false">IFERROR(YEAR(D37),"")</f>
        <v>1899</v>
      </c>
      <c r="M37" s="11" t="n">
        <f aca="false">IFERROR(MONTH(D37),"")</f>
        <v>12</v>
      </c>
    </row>
    <row r="38" customFormat="false" ht="15" hidden="false" customHeight="false" outlineLevel="0" collapsed="false">
      <c r="A38" s="11"/>
      <c r="B38" s="11" t="str">
        <f aca="false">IF(A38="","",COUNTIF($A$3:A38,A38))</f>
        <v/>
      </c>
      <c r="C38" s="11" t="str">
        <f aca="false">IF(A38="","",A38&amp;"-"&amp;B38)</f>
        <v/>
      </c>
      <c r="D38" s="13"/>
      <c r="E38" s="11"/>
      <c r="F38" s="11"/>
      <c r="G38" s="11"/>
      <c r="H38" s="12" t="str">
        <f aca="false">IF(F38="","",IFERROR(INDEX('Inventory Tracker'!$E$3:$E$52,MATCH(F38,'Inventory Tracker'!$B$3:$B$52,0)),0))</f>
        <v/>
      </c>
      <c r="I38" s="12" t="n">
        <f aca="false">IFERROR(G38*H38,0)</f>
        <v>0</v>
      </c>
      <c r="J38" s="11"/>
      <c r="K38" s="11"/>
      <c r="L38" s="11" t="n">
        <f aca="false">IFERROR(YEAR(D38),"")</f>
        <v>1899</v>
      </c>
      <c r="M38" s="11" t="n">
        <f aca="false">IFERROR(MONTH(D38),"")</f>
        <v>12</v>
      </c>
    </row>
    <row r="39" customFormat="false" ht="15" hidden="false" customHeight="false" outlineLevel="0" collapsed="false">
      <c r="A39" s="11"/>
      <c r="B39" s="11" t="str">
        <f aca="false">IF(A39="","",COUNTIF($A$3:A39,A39))</f>
        <v/>
      </c>
      <c r="C39" s="11" t="str">
        <f aca="false">IF(A39="","",A39&amp;"-"&amp;B39)</f>
        <v/>
      </c>
      <c r="D39" s="13"/>
      <c r="E39" s="11"/>
      <c r="F39" s="11"/>
      <c r="G39" s="11"/>
      <c r="H39" s="12" t="str">
        <f aca="false">IF(F39="","",IFERROR(INDEX('Inventory Tracker'!$E$3:$E$52,MATCH(F39,'Inventory Tracker'!$B$3:$B$52,0)),0))</f>
        <v/>
      </c>
      <c r="I39" s="12" t="n">
        <f aca="false">IFERROR(G39*H39,0)</f>
        <v>0</v>
      </c>
      <c r="J39" s="11"/>
      <c r="K39" s="11"/>
      <c r="L39" s="11" t="n">
        <f aca="false">IFERROR(YEAR(D39),"")</f>
        <v>1899</v>
      </c>
      <c r="M39" s="11" t="n">
        <f aca="false">IFERROR(MONTH(D39),"")</f>
        <v>12</v>
      </c>
    </row>
    <row r="40" customFormat="false" ht="15" hidden="false" customHeight="false" outlineLevel="0" collapsed="false">
      <c r="A40" s="11"/>
      <c r="B40" s="11" t="str">
        <f aca="false">IF(A40="","",COUNTIF($A$3:A40,A40))</f>
        <v/>
      </c>
      <c r="C40" s="11" t="str">
        <f aca="false">IF(A40="","",A40&amp;"-"&amp;B40)</f>
        <v/>
      </c>
      <c r="D40" s="13"/>
      <c r="E40" s="11"/>
      <c r="F40" s="11"/>
      <c r="G40" s="11"/>
      <c r="H40" s="12" t="str">
        <f aca="false">IF(F40="","",IFERROR(INDEX('Inventory Tracker'!$E$3:$E$52,MATCH(F40,'Inventory Tracker'!$B$3:$B$52,0)),0))</f>
        <v/>
      </c>
      <c r="I40" s="12" t="n">
        <f aca="false">IFERROR(G40*H40,0)</f>
        <v>0</v>
      </c>
      <c r="J40" s="11"/>
      <c r="K40" s="11"/>
      <c r="L40" s="11" t="n">
        <f aca="false">IFERROR(YEAR(D40),"")</f>
        <v>1899</v>
      </c>
      <c r="M40" s="11" t="n">
        <f aca="false">IFERROR(MONTH(D40),"")</f>
        <v>12</v>
      </c>
    </row>
    <row r="41" customFormat="false" ht="15" hidden="false" customHeight="false" outlineLevel="0" collapsed="false">
      <c r="A41" s="11"/>
      <c r="B41" s="11" t="str">
        <f aca="false">IF(A41="","",COUNTIF($A$3:A41,A41))</f>
        <v/>
      </c>
      <c r="C41" s="11" t="str">
        <f aca="false">IF(A41="","",A41&amp;"-"&amp;B41)</f>
        <v/>
      </c>
      <c r="D41" s="13"/>
      <c r="E41" s="11"/>
      <c r="F41" s="11"/>
      <c r="G41" s="11"/>
      <c r="H41" s="12" t="str">
        <f aca="false">IF(F41="","",IFERROR(INDEX('Inventory Tracker'!$E$3:$E$52,MATCH(F41,'Inventory Tracker'!$B$3:$B$52,0)),0))</f>
        <v/>
      </c>
      <c r="I41" s="12" t="n">
        <f aca="false">IFERROR(G41*H41,0)</f>
        <v>0</v>
      </c>
      <c r="J41" s="11"/>
      <c r="K41" s="11"/>
      <c r="L41" s="11" t="n">
        <f aca="false">IFERROR(YEAR(D41),"")</f>
        <v>1899</v>
      </c>
      <c r="M41" s="11" t="n">
        <f aca="false">IFERROR(MONTH(D41),"")</f>
        <v>12</v>
      </c>
    </row>
    <row r="42" customFormat="false" ht="15" hidden="false" customHeight="false" outlineLevel="0" collapsed="false">
      <c r="A42" s="11"/>
      <c r="B42" s="11" t="str">
        <f aca="false">IF(A42="","",COUNTIF($A$3:A42,A42))</f>
        <v/>
      </c>
      <c r="C42" s="11" t="str">
        <f aca="false">IF(A42="","",A42&amp;"-"&amp;B42)</f>
        <v/>
      </c>
      <c r="D42" s="13"/>
      <c r="E42" s="11"/>
      <c r="F42" s="11"/>
      <c r="G42" s="11"/>
      <c r="H42" s="12" t="str">
        <f aca="false">IF(F42="","",IFERROR(INDEX('Inventory Tracker'!$E$3:$E$52,MATCH(F42,'Inventory Tracker'!$B$3:$B$52,0)),0))</f>
        <v/>
      </c>
      <c r="I42" s="12" t="n">
        <f aca="false">IFERROR(G42*H42,0)</f>
        <v>0</v>
      </c>
      <c r="J42" s="11"/>
      <c r="K42" s="11"/>
      <c r="L42" s="11" t="n">
        <f aca="false">IFERROR(YEAR(D42),"")</f>
        <v>1899</v>
      </c>
      <c r="M42" s="11" t="n">
        <f aca="false">IFERROR(MONTH(D42),"")</f>
        <v>12</v>
      </c>
    </row>
    <row r="43" customFormat="false" ht="15" hidden="false" customHeight="false" outlineLevel="0" collapsed="false">
      <c r="A43" s="11"/>
      <c r="B43" s="11" t="str">
        <f aca="false">IF(A43="","",COUNTIF($A$3:A43,A43))</f>
        <v/>
      </c>
      <c r="C43" s="11" t="str">
        <f aca="false">IF(A43="","",A43&amp;"-"&amp;B43)</f>
        <v/>
      </c>
      <c r="D43" s="13"/>
      <c r="E43" s="11"/>
      <c r="F43" s="11"/>
      <c r="G43" s="11"/>
      <c r="H43" s="12" t="str">
        <f aca="false">IF(F43="","",IFERROR(INDEX('Inventory Tracker'!$E$3:$E$52,MATCH(F43,'Inventory Tracker'!$B$3:$B$52,0)),0))</f>
        <v/>
      </c>
      <c r="I43" s="12" t="n">
        <f aca="false">IFERROR(G43*H43,0)</f>
        <v>0</v>
      </c>
      <c r="J43" s="11"/>
      <c r="K43" s="11"/>
      <c r="L43" s="11" t="n">
        <f aca="false">IFERROR(YEAR(D43),"")</f>
        <v>1899</v>
      </c>
      <c r="M43" s="11" t="n">
        <f aca="false">IFERROR(MONTH(D43),"")</f>
        <v>12</v>
      </c>
    </row>
    <row r="44" customFormat="false" ht="15" hidden="false" customHeight="false" outlineLevel="0" collapsed="false">
      <c r="A44" s="11"/>
      <c r="B44" s="11" t="str">
        <f aca="false">IF(A44="","",COUNTIF($A$3:A44,A44))</f>
        <v/>
      </c>
      <c r="C44" s="11" t="str">
        <f aca="false">IF(A44="","",A44&amp;"-"&amp;B44)</f>
        <v/>
      </c>
      <c r="D44" s="13"/>
      <c r="E44" s="11"/>
      <c r="F44" s="11"/>
      <c r="G44" s="11"/>
      <c r="H44" s="12" t="str">
        <f aca="false">IF(F44="","",IFERROR(INDEX('Inventory Tracker'!$E$3:$E$52,MATCH(F44,'Inventory Tracker'!$B$3:$B$52,0)),0))</f>
        <v/>
      </c>
      <c r="I44" s="12" t="n">
        <f aca="false">IFERROR(G44*H44,0)</f>
        <v>0</v>
      </c>
      <c r="J44" s="11"/>
      <c r="K44" s="11"/>
      <c r="L44" s="11" t="n">
        <f aca="false">IFERROR(YEAR(D44),"")</f>
        <v>1899</v>
      </c>
      <c r="M44" s="11" t="n">
        <f aca="false">IFERROR(MONTH(D44),"")</f>
        <v>12</v>
      </c>
    </row>
    <row r="45" customFormat="false" ht="15" hidden="false" customHeight="false" outlineLevel="0" collapsed="false">
      <c r="A45" s="11"/>
      <c r="B45" s="11" t="str">
        <f aca="false">IF(A45="","",COUNTIF($A$3:A45,A45))</f>
        <v/>
      </c>
      <c r="C45" s="11" t="str">
        <f aca="false">IF(A45="","",A45&amp;"-"&amp;B45)</f>
        <v/>
      </c>
      <c r="D45" s="13"/>
      <c r="E45" s="11"/>
      <c r="F45" s="11"/>
      <c r="G45" s="11"/>
      <c r="H45" s="12" t="str">
        <f aca="false">IF(F45="","",IFERROR(INDEX('Inventory Tracker'!$E$3:$E$52,MATCH(F45,'Inventory Tracker'!$B$3:$B$52,0)),0))</f>
        <v/>
      </c>
      <c r="I45" s="12" t="n">
        <f aca="false">IFERROR(G45*H45,0)</f>
        <v>0</v>
      </c>
      <c r="J45" s="11"/>
      <c r="K45" s="11"/>
      <c r="L45" s="11" t="n">
        <f aca="false">IFERROR(YEAR(D45),"")</f>
        <v>1899</v>
      </c>
      <c r="M45" s="11" t="n">
        <f aca="false">IFERROR(MONTH(D45),"")</f>
        <v>12</v>
      </c>
    </row>
    <row r="46" customFormat="false" ht="15" hidden="false" customHeight="false" outlineLevel="0" collapsed="false">
      <c r="A46" s="11"/>
      <c r="B46" s="11" t="str">
        <f aca="false">IF(A46="","",COUNTIF($A$3:A46,A46))</f>
        <v/>
      </c>
      <c r="C46" s="11" t="str">
        <f aca="false">IF(A46="","",A46&amp;"-"&amp;B46)</f>
        <v/>
      </c>
      <c r="D46" s="13"/>
      <c r="E46" s="11"/>
      <c r="F46" s="11"/>
      <c r="G46" s="11"/>
      <c r="H46" s="12" t="str">
        <f aca="false">IF(F46="","",IFERROR(INDEX('Inventory Tracker'!$E$3:$E$52,MATCH(F46,'Inventory Tracker'!$B$3:$B$52,0)),0))</f>
        <v/>
      </c>
      <c r="I46" s="12" t="n">
        <f aca="false">IFERROR(G46*H46,0)</f>
        <v>0</v>
      </c>
      <c r="J46" s="11"/>
      <c r="K46" s="11"/>
      <c r="L46" s="11" t="n">
        <f aca="false">IFERROR(YEAR(D46),"")</f>
        <v>1899</v>
      </c>
      <c r="M46" s="11" t="n">
        <f aca="false">IFERROR(MONTH(D46),"")</f>
        <v>12</v>
      </c>
    </row>
    <row r="47" customFormat="false" ht="15" hidden="false" customHeight="false" outlineLevel="0" collapsed="false">
      <c r="A47" s="11"/>
      <c r="B47" s="11" t="str">
        <f aca="false">IF(A47="","",COUNTIF($A$3:A47,A47))</f>
        <v/>
      </c>
      <c r="C47" s="11" t="str">
        <f aca="false">IF(A47="","",A47&amp;"-"&amp;B47)</f>
        <v/>
      </c>
      <c r="D47" s="13"/>
      <c r="E47" s="11"/>
      <c r="F47" s="11"/>
      <c r="G47" s="11"/>
      <c r="H47" s="12" t="str">
        <f aca="false">IF(F47="","",IFERROR(INDEX('Inventory Tracker'!$E$3:$E$52,MATCH(F47,'Inventory Tracker'!$B$3:$B$52,0)),0))</f>
        <v/>
      </c>
      <c r="I47" s="12" t="n">
        <f aca="false">IFERROR(G47*H47,0)</f>
        <v>0</v>
      </c>
      <c r="J47" s="11"/>
      <c r="K47" s="11"/>
      <c r="L47" s="11" t="n">
        <f aca="false">IFERROR(YEAR(D47),"")</f>
        <v>1899</v>
      </c>
      <c r="M47" s="11" t="n">
        <f aca="false">IFERROR(MONTH(D47),"")</f>
        <v>12</v>
      </c>
    </row>
    <row r="48" customFormat="false" ht="15" hidden="false" customHeight="false" outlineLevel="0" collapsed="false">
      <c r="A48" s="11"/>
      <c r="B48" s="11" t="str">
        <f aca="false">IF(A48="","",COUNTIF($A$3:A48,A48))</f>
        <v/>
      </c>
      <c r="C48" s="11" t="str">
        <f aca="false">IF(A48="","",A48&amp;"-"&amp;B48)</f>
        <v/>
      </c>
      <c r="D48" s="13"/>
      <c r="E48" s="11"/>
      <c r="F48" s="11"/>
      <c r="G48" s="11"/>
      <c r="H48" s="12" t="str">
        <f aca="false">IF(F48="","",IFERROR(INDEX('Inventory Tracker'!$E$3:$E$52,MATCH(F48,'Inventory Tracker'!$B$3:$B$52,0)),0))</f>
        <v/>
      </c>
      <c r="I48" s="12" t="n">
        <f aca="false">IFERROR(G48*H48,0)</f>
        <v>0</v>
      </c>
      <c r="J48" s="11"/>
      <c r="K48" s="11"/>
      <c r="L48" s="11" t="n">
        <f aca="false">IFERROR(YEAR(D48),"")</f>
        <v>1899</v>
      </c>
      <c r="M48" s="11" t="n">
        <f aca="false">IFERROR(MONTH(D48),"")</f>
        <v>12</v>
      </c>
    </row>
    <row r="49" customFormat="false" ht="15" hidden="false" customHeight="false" outlineLevel="0" collapsed="false">
      <c r="A49" s="11"/>
      <c r="B49" s="11" t="str">
        <f aca="false">IF(A49="","",COUNTIF($A$3:A49,A49))</f>
        <v/>
      </c>
      <c r="C49" s="11" t="str">
        <f aca="false">IF(A49="","",A49&amp;"-"&amp;B49)</f>
        <v/>
      </c>
      <c r="D49" s="13"/>
      <c r="E49" s="11"/>
      <c r="F49" s="11"/>
      <c r="G49" s="11"/>
      <c r="H49" s="12" t="str">
        <f aca="false">IF(F49="","",IFERROR(INDEX('Inventory Tracker'!$E$3:$E$52,MATCH(F49,'Inventory Tracker'!$B$3:$B$52,0)),0))</f>
        <v/>
      </c>
      <c r="I49" s="12" t="n">
        <f aca="false">IFERROR(G49*H49,0)</f>
        <v>0</v>
      </c>
      <c r="J49" s="11"/>
      <c r="K49" s="11"/>
      <c r="L49" s="11" t="n">
        <f aca="false">IFERROR(YEAR(D49),"")</f>
        <v>1899</v>
      </c>
      <c r="M49" s="11" t="n">
        <f aca="false">IFERROR(MONTH(D49),"")</f>
        <v>12</v>
      </c>
    </row>
    <row r="50" customFormat="false" ht="15" hidden="false" customHeight="false" outlineLevel="0" collapsed="false">
      <c r="A50" s="11"/>
      <c r="B50" s="11" t="str">
        <f aca="false">IF(A50="","",COUNTIF($A$3:A50,A50))</f>
        <v/>
      </c>
      <c r="C50" s="11" t="str">
        <f aca="false">IF(A50="","",A50&amp;"-"&amp;B50)</f>
        <v/>
      </c>
      <c r="D50" s="13"/>
      <c r="E50" s="11"/>
      <c r="F50" s="11"/>
      <c r="G50" s="11"/>
      <c r="H50" s="12" t="str">
        <f aca="false">IF(F50="","",IFERROR(INDEX('Inventory Tracker'!$E$3:$E$52,MATCH(F50,'Inventory Tracker'!$B$3:$B$52,0)),0))</f>
        <v/>
      </c>
      <c r="I50" s="12" t="n">
        <f aca="false">IFERROR(G50*H50,0)</f>
        <v>0</v>
      </c>
      <c r="J50" s="11"/>
      <c r="K50" s="11"/>
      <c r="L50" s="11" t="n">
        <f aca="false">IFERROR(YEAR(D50),"")</f>
        <v>1899</v>
      </c>
      <c r="M50" s="11" t="n">
        <f aca="false">IFERROR(MONTH(D50),"")</f>
        <v>12</v>
      </c>
    </row>
    <row r="51" customFormat="false" ht="15" hidden="false" customHeight="false" outlineLevel="0" collapsed="false">
      <c r="A51" s="11"/>
      <c r="B51" s="11" t="str">
        <f aca="false">IF(A51="","",COUNTIF($A$3:A51,A51))</f>
        <v/>
      </c>
      <c r="C51" s="11" t="str">
        <f aca="false">IF(A51="","",A51&amp;"-"&amp;B51)</f>
        <v/>
      </c>
      <c r="D51" s="13"/>
      <c r="E51" s="11"/>
      <c r="F51" s="11"/>
      <c r="G51" s="11"/>
      <c r="H51" s="12" t="str">
        <f aca="false">IF(F51="","",IFERROR(INDEX('Inventory Tracker'!$E$3:$E$52,MATCH(F51,'Inventory Tracker'!$B$3:$B$52,0)),0))</f>
        <v/>
      </c>
      <c r="I51" s="12" t="n">
        <f aca="false">IFERROR(G51*H51,0)</f>
        <v>0</v>
      </c>
      <c r="J51" s="11"/>
      <c r="K51" s="11"/>
      <c r="L51" s="11" t="n">
        <f aca="false">IFERROR(YEAR(D51),"")</f>
        <v>1899</v>
      </c>
      <c r="M51" s="11" t="n">
        <f aca="false">IFERROR(MONTH(D51),"")</f>
        <v>12</v>
      </c>
    </row>
    <row r="52" customFormat="false" ht="15" hidden="false" customHeight="false" outlineLevel="0" collapsed="false">
      <c r="A52" s="11"/>
      <c r="B52" s="11" t="str">
        <f aca="false">IF(A52="","",COUNTIF($A$3:A52,A52))</f>
        <v/>
      </c>
      <c r="C52" s="11" t="str">
        <f aca="false">IF(A52="","",A52&amp;"-"&amp;B52)</f>
        <v/>
      </c>
      <c r="D52" s="13"/>
      <c r="E52" s="11"/>
      <c r="F52" s="11"/>
      <c r="G52" s="11"/>
      <c r="H52" s="12" t="str">
        <f aca="false">IF(F52="","",IFERROR(INDEX('Inventory Tracker'!$E$3:$E$52,MATCH(F52,'Inventory Tracker'!$B$3:$B$52,0)),0))</f>
        <v/>
      </c>
      <c r="I52" s="12" t="n">
        <f aca="false">IFERROR(G52*H52,0)</f>
        <v>0</v>
      </c>
      <c r="J52" s="11"/>
      <c r="K52" s="11"/>
      <c r="L52" s="11" t="n">
        <f aca="false">IFERROR(YEAR(D52),"")</f>
        <v>1899</v>
      </c>
      <c r="M52" s="11" t="n">
        <f aca="false">IFERROR(MONTH(D52),"")</f>
        <v>12</v>
      </c>
    </row>
    <row r="53" customFormat="false" ht="15" hidden="false" customHeight="false" outlineLevel="0" collapsed="false">
      <c r="A53" s="11"/>
      <c r="B53" s="11" t="str">
        <f aca="false">IF(A53="","",COUNTIF($A$3:A53,A53))</f>
        <v/>
      </c>
      <c r="C53" s="11" t="str">
        <f aca="false">IF(A53="","",A53&amp;"-"&amp;B53)</f>
        <v/>
      </c>
      <c r="D53" s="13"/>
      <c r="E53" s="11"/>
      <c r="F53" s="11"/>
      <c r="G53" s="11"/>
      <c r="H53" s="12" t="str">
        <f aca="false">IF(F53="","",IFERROR(INDEX('Inventory Tracker'!$E$3:$E$52,MATCH(F53,'Inventory Tracker'!$B$3:$B$52,0)),0))</f>
        <v/>
      </c>
      <c r="I53" s="12" t="n">
        <f aca="false">IFERROR(G53*H53,0)</f>
        <v>0</v>
      </c>
      <c r="J53" s="11"/>
      <c r="K53" s="11"/>
      <c r="L53" s="11" t="n">
        <f aca="false">IFERROR(YEAR(D53),"")</f>
        <v>1899</v>
      </c>
      <c r="M53" s="11" t="n">
        <f aca="false">IFERROR(MONTH(D53),"")</f>
        <v>12</v>
      </c>
    </row>
    <row r="54" customFormat="false" ht="15" hidden="false" customHeight="false" outlineLevel="0" collapsed="false">
      <c r="A54" s="11"/>
      <c r="B54" s="11" t="str">
        <f aca="false">IF(A54="","",COUNTIF($A$3:A54,A54))</f>
        <v/>
      </c>
      <c r="C54" s="11" t="str">
        <f aca="false">IF(A54="","",A54&amp;"-"&amp;B54)</f>
        <v/>
      </c>
      <c r="D54" s="13"/>
      <c r="E54" s="11"/>
      <c r="F54" s="11"/>
      <c r="G54" s="11"/>
      <c r="H54" s="12" t="str">
        <f aca="false">IF(F54="","",IFERROR(INDEX('Inventory Tracker'!$E$3:$E$52,MATCH(F54,'Inventory Tracker'!$B$3:$B$52,0)),0))</f>
        <v/>
      </c>
      <c r="I54" s="12" t="n">
        <f aca="false">IFERROR(G54*H54,0)</f>
        <v>0</v>
      </c>
      <c r="J54" s="11"/>
      <c r="K54" s="11"/>
      <c r="L54" s="11" t="n">
        <f aca="false">IFERROR(YEAR(D54),"")</f>
        <v>1899</v>
      </c>
      <c r="M54" s="11" t="n">
        <f aca="false">IFERROR(MONTH(D54),"")</f>
        <v>12</v>
      </c>
    </row>
    <row r="55" customFormat="false" ht="15" hidden="false" customHeight="false" outlineLevel="0" collapsed="false">
      <c r="A55" s="11"/>
      <c r="B55" s="11" t="str">
        <f aca="false">IF(A55="","",COUNTIF($A$3:A55,A55))</f>
        <v/>
      </c>
      <c r="C55" s="11" t="str">
        <f aca="false">IF(A55="","",A55&amp;"-"&amp;B55)</f>
        <v/>
      </c>
      <c r="D55" s="13"/>
      <c r="E55" s="11"/>
      <c r="F55" s="11"/>
      <c r="G55" s="11"/>
      <c r="H55" s="12" t="str">
        <f aca="false">IF(F55="","",IFERROR(INDEX('Inventory Tracker'!$E$3:$E$52,MATCH(F55,'Inventory Tracker'!$B$3:$B$52,0)),0))</f>
        <v/>
      </c>
      <c r="I55" s="12" t="n">
        <f aca="false">IFERROR(G55*H55,0)</f>
        <v>0</v>
      </c>
      <c r="J55" s="11"/>
      <c r="K55" s="11"/>
      <c r="L55" s="11" t="n">
        <f aca="false">IFERROR(YEAR(D55),"")</f>
        <v>1899</v>
      </c>
      <c r="M55" s="11" t="n">
        <f aca="false">IFERROR(MONTH(D55),"")</f>
        <v>12</v>
      </c>
    </row>
    <row r="56" customFormat="false" ht="15" hidden="false" customHeight="false" outlineLevel="0" collapsed="false">
      <c r="A56" s="11"/>
      <c r="B56" s="11" t="str">
        <f aca="false">IF(A56="","",COUNTIF($A$3:A56,A56))</f>
        <v/>
      </c>
      <c r="C56" s="11" t="str">
        <f aca="false">IF(A56="","",A56&amp;"-"&amp;B56)</f>
        <v/>
      </c>
      <c r="D56" s="13"/>
      <c r="E56" s="11"/>
      <c r="F56" s="11"/>
      <c r="G56" s="11"/>
      <c r="H56" s="12" t="str">
        <f aca="false">IF(F56="","",IFERROR(INDEX('Inventory Tracker'!$E$3:$E$52,MATCH(F56,'Inventory Tracker'!$B$3:$B$52,0)),0))</f>
        <v/>
      </c>
      <c r="I56" s="12" t="n">
        <f aca="false">IFERROR(G56*H56,0)</f>
        <v>0</v>
      </c>
      <c r="J56" s="11"/>
      <c r="K56" s="11"/>
      <c r="L56" s="11" t="n">
        <f aca="false">IFERROR(YEAR(D56),"")</f>
        <v>1899</v>
      </c>
      <c r="M56" s="11" t="n">
        <f aca="false">IFERROR(MONTH(D56),"")</f>
        <v>12</v>
      </c>
    </row>
    <row r="57" customFormat="false" ht="15" hidden="false" customHeight="false" outlineLevel="0" collapsed="false">
      <c r="A57" s="11"/>
      <c r="B57" s="11" t="str">
        <f aca="false">IF(A57="","",COUNTIF($A$3:A57,A57))</f>
        <v/>
      </c>
      <c r="C57" s="11" t="str">
        <f aca="false">IF(A57="","",A57&amp;"-"&amp;B57)</f>
        <v/>
      </c>
      <c r="D57" s="13"/>
      <c r="E57" s="11"/>
      <c r="F57" s="11"/>
      <c r="G57" s="11"/>
      <c r="H57" s="12" t="str">
        <f aca="false">IF(F57="","",IFERROR(INDEX('Inventory Tracker'!$E$3:$E$52,MATCH(F57,'Inventory Tracker'!$B$3:$B$52,0)),0))</f>
        <v/>
      </c>
      <c r="I57" s="12" t="n">
        <f aca="false">IFERROR(G57*H57,0)</f>
        <v>0</v>
      </c>
      <c r="J57" s="11"/>
      <c r="K57" s="11"/>
      <c r="L57" s="11" t="n">
        <f aca="false">IFERROR(YEAR(D57),"")</f>
        <v>1899</v>
      </c>
      <c r="M57" s="11" t="n">
        <f aca="false">IFERROR(MONTH(D57),"")</f>
        <v>12</v>
      </c>
    </row>
    <row r="58" customFormat="false" ht="15" hidden="false" customHeight="false" outlineLevel="0" collapsed="false">
      <c r="A58" s="11"/>
      <c r="B58" s="11" t="str">
        <f aca="false">IF(A58="","",COUNTIF($A$3:A58,A58))</f>
        <v/>
      </c>
      <c r="C58" s="11" t="str">
        <f aca="false">IF(A58="","",A58&amp;"-"&amp;B58)</f>
        <v/>
      </c>
      <c r="D58" s="13"/>
      <c r="E58" s="11"/>
      <c r="F58" s="11"/>
      <c r="G58" s="11"/>
      <c r="H58" s="12" t="str">
        <f aca="false">IF(F58="","",IFERROR(INDEX('Inventory Tracker'!$E$3:$E$52,MATCH(F58,'Inventory Tracker'!$B$3:$B$52,0)),0))</f>
        <v/>
      </c>
      <c r="I58" s="12" t="n">
        <f aca="false">IFERROR(G58*H58,0)</f>
        <v>0</v>
      </c>
      <c r="J58" s="11"/>
      <c r="K58" s="11"/>
      <c r="L58" s="11" t="n">
        <f aca="false">IFERROR(YEAR(D58),"")</f>
        <v>1899</v>
      </c>
      <c r="M58" s="11" t="n">
        <f aca="false">IFERROR(MONTH(D58),"")</f>
        <v>12</v>
      </c>
    </row>
    <row r="59" customFormat="false" ht="15" hidden="false" customHeight="false" outlineLevel="0" collapsed="false">
      <c r="A59" s="11"/>
      <c r="B59" s="11" t="str">
        <f aca="false">IF(A59="","",COUNTIF($A$3:A59,A59))</f>
        <v/>
      </c>
      <c r="C59" s="11" t="str">
        <f aca="false">IF(A59="","",A59&amp;"-"&amp;B59)</f>
        <v/>
      </c>
      <c r="D59" s="13"/>
      <c r="E59" s="11"/>
      <c r="F59" s="11"/>
      <c r="G59" s="11"/>
      <c r="H59" s="12" t="str">
        <f aca="false">IF(F59="","",IFERROR(INDEX('Inventory Tracker'!$E$3:$E$52,MATCH(F59,'Inventory Tracker'!$B$3:$B$52,0)),0))</f>
        <v/>
      </c>
      <c r="I59" s="12" t="n">
        <f aca="false">IFERROR(G59*H59,0)</f>
        <v>0</v>
      </c>
      <c r="J59" s="11"/>
      <c r="K59" s="11"/>
      <c r="L59" s="11" t="n">
        <f aca="false">IFERROR(YEAR(D59),"")</f>
        <v>1899</v>
      </c>
      <c r="M59" s="11" t="n">
        <f aca="false">IFERROR(MONTH(D59),"")</f>
        <v>12</v>
      </c>
    </row>
    <row r="60" customFormat="false" ht="15" hidden="false" customHeight="false" outlineLevel="0" collapsed="false">
      <c r="A60" s="11"/>
      <c r="B60" s="11" t="str">
        <f aca="false">IF(A60="","",COUNTIF($A$3:A60,A60))</f>
        <v/>
      </c>
      <c r="C60" s="11" t="str">
        <f aca="false">IF(A60="","",A60&amp;"-"&amp;B60)</f>
        <v/>
      </c>
      <c r="D60" s="13"/>
      <c r="E60" s="11"/>
      <c r="F60" s="11"/>
      <c r="G60" s="11"/>
      <c r="H60" s="12" t="str">
        <f aca="false">IF(F60="","",IFERROR(INDEX('Inventory Tracker'!$E$3:$E$52,MATCH(F60,'Inventory Tracker'!$B$3:$B$52,0)),0))</f>
        <v/>
      </c>
      <c r="I60" s="12" t="n">
        <f aca="false">IFERROR(G60*H60,0)</f>
        <v>0</v>
      </c>
      <c r="J60" s="11"/>
      <c r="K60" s="11"/>
      <c r="L60" s="11" t="n">
        <f aca="false">IFERROR(YEAR(D60),"")</f>
        <v>1899</v>
      </c>
      <c r="M60" s="11" t="n">
        <f aca="false">IFERROR(MONTH(D60),"")</f>
        <v>12</v>
      </c>
    </row>
    <row r="61" customFormat="false" ht="15" hidden="false" customHeight="false" outlineLevel="0" collapsed="false">
      <c r="A61" s="11"/>
      <c r="B61" s="11" t="str">
        <f aca="false">IF(A61="","",COUNTIF($A$3:A61,A61))</f>
        <v/>
      </c>
      <c r="C61" s="11" t="str">
        <f aca="false">IF(A61="","",A61&amp;"-"&amp;B61)</f>
        <v/>
      </c>
      <c r="D61" s="13"/>
      <c r="E61" s="11"/>
      <c r="F61" s="11"/>
      <c r="G61" s="11"/>
      <c r="H61" s="12" t="str">
        <f aca="false">IF(F61="","",IFERROR(INDEX('Inventory Tracker'!$E$3:$E$52,MATCH(F61,'Inventory Tracker'!$B$3:$B$52,0)),0))</f>
        <v/>
      </c>
      <c r="I61" s="12" t="n">
        <f aca="false">IFERROR(G61*H61,0)</f>
        <v>0</v>
      </c>
      <c r="J61" s="11"/>
      <c r="K61" s="11"/>
      <c r="L61" s="11" t="n">
        <f aca="false">IFERROR(YEAR(D61),"")</f>
        <v>1899</v>
      </c>
      <c r="M61" s="11" t="n">
        <f aca="false">IFERROR(MONTH(D61),"")</f>
        <v>12</v>
      </c>
    </row>
    <row r="62" customFormat="false" ht="15" hidden="false" customHeight="false" outlineLevel="0" collapsed="false">
      <c r="A62" s="11"/>
      <c r="B62" s="11" t="str">
        <f aca="false">IF(A62="","",COUNTIF($A$3:A62,A62))</f>
        <v/>
      </c>
      <c r="C62" s="11" t="str">
        <f aca="false">IF(A62="","",A62&amp;"-"&amp;B62)</f>
        <v/>
      </c>
      <c r="D62" s="13"/>
      <c r="E62" s="11"/>
      <c r="F62" s="11"/>
      <c r="G62" s="11"/>
      <c r="H62" s="12" t="str">
        <f aca="false">IF(F62="","",IFERROR(INDEX('Inventory Tracker'!$E$3:$E$52,MATCH(F62,'Inventory Tracker'!$B$3:$B$52,0)),0))</f>
        <v/>
      </c>
      <c r="I62" s="12" t="n">
        <f aca="false">IFERROR(G62*H62,0)</f>
        <v>0</v>
      </c>
      <c r="J62" s="11"/>
      <c r="K62" s="11"/>
      <c r="L62" s="11" t="n">
        <f aca="false">IFERROR(YEAR(D62),"")</f>
        <v>1899</v>
      </c>
      <c r="M62" s="11" t="n">
        <f aca="false">IFERROR(MONTH(D62),"")</f>
        <v>12</v>
      </c>
    </row>
    <row r="63" customFormat="false" ht="15" hidden="false" customHeight="false" outlineLevel="0" collapsed="false">
      <c r="A63" s="11"/>
      <c r="B63" s="11" t="str">
        <f aca="false">IF(A63="","",COUNTIF($A$3:A63,A63))</f>
        <v/>
      </c>
      <c r="C63" s="11" t="str">
        <f aca="false">IF(A63="","",A63&amp;"-"&amp;B63)</f>
        <v/>
      </c>
      <c r="D63" s="13"/>
      <c r="E63" s="11"/>
      <c r="F63" s="11"/>
      <c r="G63" s="11"/>
      <c r="H63" s="12" t="str">
        <f aca="false">IF(F63="","",IFERROR(INDEX('Inventory Tracker'!$E$3:$E$52,MATCH(F63,'Inventory Tracker'!$B$3:$B$52,0)),0))</f>
        <v/>
      </c>
      <c r="I63" s="12" t="n">
        <f aca="false">IFERROR(G63*H63,0)</f>
        <v>0</v>
      </c>
      <c r="J63" s="11"/>
      <c r="K63" s="11"/>
      <c r="L63" s="11" t="n">
        <f aca="false">IFERROR(YEAR(D63),"")</f>
        <v>1899</v>
      </c>
      <c r="M63" s="11" t="n">
        <f aca="false">IFERROR(MONTH(D63),"")</f>
        <v>12</v>
      </c>
    </row>
    <row r="64" customFormat="false" ht="15" hidden="false" customHeight="false" outlineLevel="0" collapsed="false">
      <c r="A64" s="11"/>
      <c r="B64" s="11" t="str">
        <f aca="false">IF(A64="","",COUNTIF($A$3:A64,A64))</f>
        <v/>
      </c>
      <c r="C64" s="11" t="str">
        <f aca="false">IF(A64="","",A64&amp;"-"&amp;B64)</f>
        <v/>
      </c>
      <c r="D64" s="13"/>
      <c r="E64" s="11"/>
      <c r="F64" s="11"/>
      <c r="G64" s="11"/>
      <c r="H64" s="12" t="str">
        <f aca="false">IF(F64="","",IFERROR(INDEX('Inventory Tracker'!$E$3:$E$52,MATCH(F64,'Inventory Tracker'!$B$3:$B$52,0)),0))</f>
        <v/>
      </c>
      <c r="I64" s="12" t="n">
        <f aca="false">IFERROR(G64*H64,0)</f>
        <v>0</v>
      </c>
      <c r="J64" s="11"/>
      <c r="K64" s="11"/>
      <c r="L64" s="11" t="n">
        <f aca="false">IFERROR(YEAR(D64),"")</f>
        <v>1899</v>
      </c>
      <c r="M64" s="11" t="n">
        <f aca="false">IFERROR(MONTH(D64),"")</f>
        <v>12</v>
      </c>
    </row>
    <row r="65" customFormat="false" ht="15" hidden="false" customHeight="false" outlineLevel="0" collapsed="false">
      <c r="A65" s="11"/>
      <c r="B65" s="11" t="str">
        <f aca="false">IF(A65="","",COUNTIF($A$3:A65,A65))</f>
        <v/>
      </c>
      <c r="C65" s="11" t="str">
        <f aca="false">IF(A65="","",A65&amp;"-"&amp;B65)</f>
        <v/>
      </c>
      <c r="D65" s="13"/>
      <c r="E65" s="11"/>
      <c r="F65" s="11"/>
      <c r="G65" s="11"/>
      <c r="H65" s="12" t="str">
        <f aca="false">IF(F65="","",IFERROR(INDEX('Inventory Tracker'!$E$3:$E$52,MATCH(F65,'Inventory Tracker'!$B$3:$B$52,0)),0))</f>
        <v/>
      </c>
      <c r="I65" s="12" t="n">
        <f aca="false">IFERROR(G65*H65,0)</f>
        <v>0</v>
      </c>
      <c r="J65" s="11"/>
      <c r="K65" s="11"/>
      <c r="L65" s="11" t="n">
        <f aca="false">IFERROR(YEAR(D65),"")</f>
        <v>1899</v>
      </c>
      <c r="M65" s="11" t="n">
        <f aca="false">IFERROR(MONTH(D65),"")</f>
        <v>12</v>
      </c>
    </row>
    <row r="66" customFormat="false" ht="15" hidden="false" customHeight="false" outlineLevel="0" collapsed="false">
      <c r="A66" s="11"/>
      <c r="B66" s="11" t="str">
        <f aca="false">IF(A66="","",COUNTIF($A$3:A66,A66))</f>
        <v/>
      </c>
      <c r="C66" s="11" t="str">
        <f aca="false">IF(A66="","",A66&amp;"-"&amp;B66)</f>
        <v/>
      </c>
      <c r="D66" s="13"/>
      <c r="E66" s="11"/>
      <c r="F66" s="11"/>
      <c r="G66" s="11"/>
      <c r="H66" s="12" t="str">
        <f aca="false">IF(F66="","",IFERROR(INDEX('Inventory Tracker'!$E$3:$E$52,MATCH(F66,'Inventory Tracker'!$B$3:$B$52,0)),0))</f>
        <v/>
      </c>
      <c r="I66" s="12" t="n">
        <f aca="false">IFERROR(G66*H66,0)</f>
        <v>0</v>
      </c>
      <c r="J66" s="11"/>
      <c r="K66" s="11"/>
      <c r="L66" s="11" t="n">
        <f aca="false">IFERROR(YEAR(D66),"")</f>
        <v>1899</v>
      </c>
      <c r="M66" s="11" t="n">
        <f aca="false">IFERROR(MONTH(D66),"")</f>
        <v>12</v>
      </c>
    </row>
    <row r="67" customFormat="false" ht="15" hidden="false" customHeight="false" outlineLevel="0" collapsed="false">
      <c r="A67" s="11"/>
      <c r="B67" s="11" t="str">
        <f aca="false">IF(A67="","",COUNTIF($A$3:A67,A67))</f>
        <v/>
      </c>
      <c r="C67" s="11" t="str">
        <f aca="false">IF(A67="","",A67&amp;"-"&amp;B67)</f>
        <v/>
      </c>
      <c r="D67" s="13"/>
      <c r="E67" s="11"/>
      <c r="F67" s="11"/>
      <c r="G67" s="11"/>
      <c r="H67" s="12" t="str">
        <f aca="false">IF(F67="","",IFERROR(INDEX('Inventory Tracker'!$E$3:$E$52,MATCH(F67,'Inventory Tracker'!$B$3:$B$52,0)),0))</f>
        <v/>
      </c>
      <c r="I67" s="12" t="n">
        <f aca="false">IFERROR(G67*H67,0)</f>
        <v>0</v>
      </c>
      <c r="J67" s="11"/>
      <c r="K67" s="11"/>
      <c r="L67" s="11" t="n">
        <f aca="false">IFERROR(YEAR(D67),"")</f>
        <v>1899</v>
      </c>
      <c r="M67" s="11" t="n">
        <f aca="false">IFERROR(MONTH(D67),"")</f>
        <v>12</v>
      </c>
    </row>
    <row r="68" customFormat="false" ht="15" hidden="false" customHeight="false" outlineLevel="0" collapsed="false">
      <c r="A68" s="11"/>
      <c r="B68" s="11" t="str">
        <f aca="false">IF(A68="","",COUNTIF($A$3:A68,A68))</f>
        <v/>
      </c>
      <c r="C68" s="11" t="str">
        <f aca="false">IF(A68="","",A68&amp;"-"&amp;B68)</f>
        <v/>
      </c>
      <c r="D68" s="13"/>
      <c r="E68" s="11"/>
      <c r="F68" s="11"/>
      <c r="G68" s="11"/>
      <c r="H68" s="12" t="str">
        <f aca="false">IF(F68="","",IFERROR(INDEX('Inventory Tracker'!$E$3:$E$52,MATCH(F68,'Inventory Tracker'!$B$3:$B$52,0)),0))</f>
        <v/>
      </c>
      <c r="I68" s="12" t="n">
        <f aca="false">IFERROR(G68*H68,0)</f>
        <v>0</v>
      </c>
      <c r="J68" s="11"/>
      <c r="K68" s="11"/>
      <c r="L68" s="11" t="n">
        <f aca="false">IFERROR(YEAR(D68),"")</f>
        <v>1899</v>
      </c>
      <c r="M68" s="11" t="n">
        <f aca="false">IFERROR(MONTH(D68),"")</f>
        <v>12</v>
      </c>
    </row>
    <row r="69" customFormat="false" ht="15" hidden="false" customHeight="false" outlineLevel="0" collapsed="false">
      <c r="A69" s="11"/>
      <c r="B69" s="11" t="str">
        <f aca="false">IF(A69="","",COUNTIF($A$3:A69,A69))</f>
        <v/>
      </c>
      <c r="C69" s="11" t="str">
        <f aca="false">IF(A69="","",A69&amp;"-"&amp;B69)</f>
        <v/>
      </c>
      <c r="D69" s="13"/>
      <c r="E69" s="11"/>
      <c r="F69" s="11"/>
      <c r="G69" s="11"/>
      <c r="H69" s="12" t="str">
        <f aca="false">IF(F69="","",IFERROR(INDEX('Inventory Tracker'!$E$3:$E$52,MATCH(F69,'Inventory Tracker'!$B$3:$B$52,0)),0))</f>
        <v/>
      </c>
      <c r="I69" s="12" t="n">
        <f aca="false">IFERROR(G69*H69,0)</f>
        <v>0</v>
      </c>
      <c r="J69" s="11"/>
      <c r="K69" s="11"/>
      <c r="L69" s="11" t="n">
        <f aca="false">IFERROR(YEAR(D69),"")</f>
        <v>1899</v>
      </c>
      <c r="M69" s="11" t="n">
        <f aca="false">IFERROR(MONTH(D69),"")</f>
        <v>12</v>
      </c>
    </row>
    <row r="70" customFormat="false" ht="15" hidden="false" customHeight="false" outlineLevel="0" collapsed="false">
      <c r="A70" s="11"/>
      <c r="B70" s="11" t="str">
        <f aca="false">IF(A70="","",COUNTIF($A$3:A70,A70))</f>
        <v/>
      </c>
      <c r="C70" s="11" t="str">
        <f aca="false">IF(A70="","",A70&amp;"-"&amp;B70)</f>
        <v/>
      </c>
      <c r="D70" s="13"/>
      <c r="E70" s="11"/>
      <c r="F70" s="11"/>
      <c r="G70" s="11"/>
      <c r="H70" s="12" t="str">
        <f aca="false">IF(F70="","",IFERROR(INDEX('Inventory Tracker'!$E$3:$E$52,MATCH(F70,'Inventory Tracker'!$B$3:$B$52,0)),0))</f>
        <v/>
      </c>
      <c r="I70" s="12" t="n">
        <f aca="false">IFERROR(G70*H70,0)</f>
        <v>0</v>
      </c>
      <c r="J70" s="11"/>
      <c r="K70" s="11"/>
      <c r="L70" s="11" t="n">
        <f aca="false">IFERROR(YEAR(D70),"")</f>
        <v>1899</v>
      </c>
      <c r="M70" s="11" t="n">
        <f aca="false">IFERROR(MONTH(D70),"")</f>
        <v>12</v>
      </c>
    </row>
    <row r="71" customFormat="false" ht="15" hidden="false" customHeight="false" outlineLevel="0" collapsed="false">
      <c r="A71" s="11"/>
      <c r="B71" s="11" t="str">
        <f aca="false">IF(A71="","",COUNTIF($A$3:A71,A71))</f>
        <v/>
      </c>
      <c r="C71" s="11" t="str">
        <f aca="false">IF(A71="","",A71&amp;"-"&amp;B71)</f>
        <v/>
      </c>
      <c r="D71" s="13"/>
      <c r="E71" s="11"/>
      <c r="F71" s="11"/>
      <c r="G71" s="11"/>
      <c r="H71" s="12" t="str">
        <f aca="false">IF(F71="","",IFERROR(INDEX('Inventory Tracker'!$E$3:$E$52,MATCH(F71,'Inventory Tracker'!$B$3:$B$52,0)),0))</f>
        <v/>
      </c>
      <c r="I71" s="12" t="n">
        <f aca="false">IFERROR(G71*H71,0)</f>
        <v>0</v>
      </c>
      <c r="J71" s="11"/>
      <c r="K71" s="11"/>
      <c r="L71" s="11" t="n">
        <f aca="false">IFERROR(YEAR(D71),"")</f>
        <v>1899</v>
      </c>
      <c r="M71" s="11" t="n">
        <f aca="false">IFERROR(MONTH(D71),"")</f>
        <v>12</v>
      </c>
    </row>
    <row r="72" customFormat="false" ht="15" hidden="false" customHeight="false" outlineLevel="0" collapsed="false">
      <c r="A72" s="11"/>
      <c r="B72" s="11" t="str">
        <f aca="false">IF(A72="","",COUNTIF($A$3:A72,A72))</f>
        <v/>
      </c>
      <c r="C72" s="11" t="str">
        <f aca="false">IF(A72="","",A72&amp;"-"&amp;B72)</f>
        <v/>
      </c>
      <c r="D72" s="13"/>
      <c r="E72" s="11"/>
      <c r="F72" s="11"/>
      <c r="G72" s="11"/>
      <c r="H72" s="12" t="str">
        <f aca="false">IF(F72="","",IFERROR(INDEX('Inventory Tracker'!$E$3:$E$52,MATCH(F72,'Inventory Tracker'!$B$3:$B$52,0)),0))</f>
        <v/>
      </c>
      <c r="I72" s="12" t="n">
        <f aca="false">IFERROR(G72*H72,0)</f>
        <v>0</v>
      </c>
      <c r="J72" s="11"/>
      <c r="K72" s="11"/>
      <c r="L72" s="11" t="n">
        <f aca="false">IFERROR(YEAR(D72),"")</f>
        <v>1899</v>
      </c>
      <c r="M72" s="11" t="n">
        <f aca="false">IFERROR(MONTH(D72),"")</f>
        <v>12</v>
      </c>
    </row>
    <row r="73" customFormat="false" ht="15" hidden="false" customHeight="false" outlineLevel="0" collapsed="false">
      <c r="A73" s="11"/>
      <c r="B73" s="11" t="str">
        <f aca="false">IF(A73="","",COUNTIF($A$3:A73,A73))</f>
        <v/>
      </c>
      <c r="C73" s="11" t="str">
        <f aca="false">IF(A73="","",A73&amp;"-"&amp;B73)</f>
        <v/>
      </c>
      <c r="D73" s="13"/>
      <c r="E73" s="11"/>
      <c r="F73" s="11"/>
      <c r="G73" s="11"/>
      <c r="H73" s="12" t="str">
        <f aca="false">IF(F73="","",IFERROR(INDEX('Inventory Tracker'!$E$3:$E$52,MATCH(F73,'Inventory Tracker'!$B$3:$B$52,0)),0))</f>
        <v/>
      </c>
      <c r="I73" s="12" t="n">
        <f aca="false">IFERROR(G73*H73,0)</f>
        <v>0</v>
      </c>
      <c r="J73" s="11"/>
      <c r="K73" s="11"/>
      <c r="L73" s="11" t="n">
        <f aca="false">IFERROR(YEAR(D73),"")</f>
        <v>1899</v>
      </c>
      <c r="M73" s="11" t="n">
        <f aca="false">IFERROR(MONTH(D73),"")</f>
        <v>12</v>
      </c>
    </row>
    <row r="74" customFormat="false" ht="15" hidden="false" customHeight="false" outlineLevel="0" collapsed="false">
      <c r="A74" s="11"/>
      <c r="B74" s="11" t="str">
        <f aca="false">IF(A74="","",COUNTIF($A$3:A74,A74))</f>
        <v/>
      </c>
      <c r="C74" s="11" t="str">
        <f aca="false">IF(A74="","",A74&amp;"-"&amp;B74)</f>
        <v/>
      </c>
      <c r="D74" s="13"/>
      <c r="E74" s="11"/>
      <c r="F74" s="11"/>
      <c r="G74" s="11"/>
      <c r="H74" s="12" t="str">
        <f aca="false">IF(F74="","",IFERROR(INDEX('Inventory Tracker'!$E$3:$E$52,MATCH(F74,'Inventory Tracker'!$B$3:$B$52,0)),0))</f>
        <v/>
      </c>
      <c r="I74" s="12" t="n">
        <f aca="false">IFERROR(G74*H74,0)</f>
        <v>0</v>
      </c>
      <c r="J74" s="11"/>
      <c r="K74" s="11"/>
      <c r="L74" s="11" t="n">
        <f aca="false">IFERROR(YEAR(D74),"")</f>
        <v>1899</v>
      </c>
      <c r="M74" s="11" t="n">
        <f aca="false">IFERROR(MONTH(D74),"")</f>
        <v>12</v>
      </c>
    </row>
    <row r="75" customFormat="false" ht="15" hidden="false" customHeight="false" outlineLevel="0" collapsed="false">
      <c r="A75" s="11"/>
      <c r="B75" s="11" t="str">
        <f aca="false">IF(A75="","",COUNTIF($A$3:A75,A75))</f>
        <v/>
      </c>
      <c r="C75" s="11" t="str">
        <f aca="false">IF(A75="","",A75&amp;"-"&amp;B75)</f>
        <v/>
      </c>
      <c r="D75" s="13"/>
      <c r="E75" s="11"/>
      <c r="F75" s="11"/>
      <c r="G75" s="11"/>
      <c r="H75" s="12" t="str">
        <f aca="false">IF(F75="","",IFERROR(INDEX('Inventory Tracker'!$E$3:$E$52,MATCH(F75,'Inventory Tracker'!$B$3:$B$52,0)),0))</f>
        <v/>
      </c>
      <c r="I75" s="12" t="n">
        <f aca="false">IFERROR(G75*H75,0)</f>
        <v>0</v>
      </c>
      <c r="J75" s="11"/>
      <c r="K75" s="11"/>
      <c r="L75" s="11" t="n">
        <f aca="false">IFERROR(YEAR(D75),"")</f>
        <v>1899</v>
      </c>
      <c r="M75" s="11" t="n">
        <f aca="false">IFERROR(MONTH(D75),"")</f>
        <v>12</v>
      </c>
    </row>
    <row r="76" customFormat="false" ht="15" hidden="false" customHeight="false" outlineLevel="0" collapsed="false">
      <c r="A76" s="11"/>
      <c r="B76" s="11" t="str">
        <f aca="false">IF(A76="","",COUNTIF($A$3:A76,A76))</f>
        <v/>
      </c>
      <c r="C76" s="11" t="str">
        <f aca="false">IF(A76="","",A76&amp;"-"&amp;B76)</f>
        <v/>
      </c>
      <c r="D76" s="13"/>
      <c r="E76" s="11"/>
      <c r="F76" s="11"/>
      <c r="G76" s="11"/>
      <c r="H76" s="12" t="str">
        <f aca="false">IF(F76="","",IFERROR(INDEX('Inventory Tracker'!$E$3:$E$52,MATCH(F76,'Inventory Tracker'!$B$3:$B$52,0)),0))</f>
        <v/>
      </c>
      <c r="I76" s="12" t="n">
        <f aca="false">IFERROR(G76*H76,0)</f>
        <v>0</v>
      </c>
      <c r="J76" s="11"/>
      <c r="K76" s="11"/>
      <c r="L76" s="11" t="n">
        <f aca="false">IFERROR(YEAR(D76),"")</f>
        <v>1899</v>
      </c>
      <c r="M76" s="11" t="n">
        <f aca="false">IFERROR(MONTH(D76),"")</f>
        <v>12</v>
      </c>
    </row>
    <row r="77" customFormat="false" ht="15" hidden="false" customHeight="false" outlineLevel="0" collapsed="false">
      <c r="A77" s="11"/>
      <c r="B77" s="11" t="str">
        <f aca="false">IF(A77="","",COUNTIF($A$3:A77,A77))</f>
        <v/>
      </c>
      <c r="C77" s="11" t="str">
        <f aca="false">IF(A77="","",A77&amp;"-"&amp;B77)</f>
        <v/>
      </c>
      <c r="D77" s="13"/>
      <c r="E77" s="11"/>
      <c r="F77" s="11"/>
      <c r="G77" s="11"/>
      <c r="H77" s="12" t="str">
        <f aca="false">IF(F77="","",IFERROR(INDEX('Inventory Tracker'!$E$3:$E$52,MATCH(F77,'Inventory Tracker'!$B$3:$B$52,0)),0))</f>
        <v/>
      </c>
      <c r="I77" s="12" t="n">
        <f aca="false">IFERROR(G77*H77,0)</f>
        <v>0</v>
      </c>
      <c r="J77" s="11"/>
      <c r="K77" s="11"/>
      <c r="L77" s="11" t="n">
        <f aca="false">IFERROR(YEAR(D77),"")</f>
        <v>1899</v>
      </c>
      <c r="M77" s="11" t="n">
        <f aca="false">IFERROR(MONTH(D77),"")</f>
        <v>12</v>
      </c>
    </row>
    <row r="78" customFormat="false" ht="15" hidden="false" customHeight="false" outlineLevel="0" collapsed="false">
      <c r="A78" s="11"/>
      <c r="B78" s="11" t="str">
        <f aca="false">IF(A78="","",COUNTIF($A$3:A78,A78))</f>
        <v/>
      </c>
      <c r="C78" s="11" t="str">
        <f aca="false">IF(A78="","",A78&amp;"-"&amp;B78)</f>
        <v/>
      </c>
      <c r="D78" s="13"/>
      <c r="E78" s="11"/>
      <c r="F78" s="11"/>
      <c r="G78" s="11"/>
      <c r="H78" s="12" t="str">
        <f aca="false">IF(F78="","",IFERROR(INDEX('Inventory Tracker'!$E$3:$E$52,MATCH(F78,'Inventory Tracker'!$B$3:$B$52,0)),0))</f>
        <v/>
      </c>
      <c r="I78" s="12" t="n">
        <f aca="false">IFERROR(G78*H78,0)</f>
        <v>0</v>
      </c>
      <c r="J78" s="11"/>
      <c r="K78" s="11"/>
      <c r="L78" s="11" t="n">
        <f aca="false">IFERROR(YEAR(D78),"")</f>
        <v>1899</v>
      </c>
      <c r="M78" s="11" t="n">
        <f aca="false">IFERROR(MONTH(D78),"")</f>
        <v>12</v>
      </c>
    </row>
    <row r="79" customFormat="false" ht="15" hidden="false" customHeight="false" outlineLevel="0" collapsed="false">
      <c r="A79" s="11"/>
      <c r="B79" s="11" t="str">
        <f aca="false">IF(A79="","",COUNTIF($A$3:A79,A79))</f>
        <v/>
      </c>
      <c r="C79" s="11" t="str">
        <f aca="false">IF(A79="","",A79&amp;"-"&amp;B79)</f>
        <v/>
      </c>
      <c r="D79" s="13"/>
      <c r="E79" s="11"/>
      <c r="F79" s="11"/>
      <c r="G79" s="11"/>
      <c r="H79" s="12" t="str">
        <f aca="false">IF(F79="","",IFERROR(INDEX('Inventory Tracker'!$E$3:$E$52,MATCH(F79,'Inventory Tracker'!$B$3:$B$52,0)),0))</f>
        <v/>
      </c>
      <c r="I79" s="12" t="n">
        <f aca="false">IFERROR(G79*H79,0)</f>
        <v>0</v>
      </c>
      <c r="J79" s="11"/>
      <c r="K79" s="11"/>
      <c r="L79" s="11" t="n">
        <f aca="false">IFERROR(YEAR(D79),"")</f>
        <v>1899</v>
      </c>
      <c r="M79" s="11" t="n">
        <f aca="false">IFERROR(MONTH(D79),"")</f>
        <v>12</v>
      </c>
    </row>
    <row r="80" customFormat="false" ht="15" hidden="false" customHeight="false" outlineLevel="0" collapsed="false">
      <c r="A80" s="11"/>
      <c r="B80" s="11" t="str">
        <f aca="false">IF(A80="","",COUNTIF($A$3:A80,A80))</f>
        <v/>
      </c>
      <c r="C80" s="11" t="str">
        <f aca="false">IF(A80="","",A80&amp;"-"&amp;B80)</f>
        <v/>
      </c>
      <c r="D80" s="13"/>
      <c r="E80" s="11"/>
      <c r="F80" s="11"/>
      <c r="G80" s="11"/>
      <c r="H80" s="12" t="str">
        <f aca="false">IF(F80="","",IFERROR(INDEX('Inventory Tracker'!$E$3:$E$52,MATCH(F80,'Inventory Tracker'!$B$3:$B$52,0)),0))</f>
        <v/>
      </c>
      <c r="I80" s="12" t="n">
        <f aca="false">IFERROR(G80*H80,0)</f>
        <v>0</v>
      </c>
      <c r="J80" s="11"/>
      <c r="K80" s="11"/>
      <c r="L80" s="11" t="n">
        <f aca="false">IFERROR(YEAR(D80),"")</f>
        <v>1899</v>
      </c>
      <c r="M80" s="11" t="n">
        <f aca="false">IFERROR(MONTH(D80),"")</f>
        <v>12</v>
      </c>
    </row>
    <row r="81" customFormat="false" ht="15" hidden="false" customHeight="false" outlineLevel="0" collapsed="false">
      <c r="A81" s="11"/>
      <c r="B81" s="11" t="str">
        <f aca="false">IF(A81="","",COUNTIF($A$3:A81,A81))</f>
        <v/>
      </c>
      <c r="C81" s="11" t="str">
        <f aca="false">IF(A81="","",A81&amp;"-"&amp;B81)</f>
        <v/>
      </c>
      <c r="D81" s="13"/>
      <c r="E81" s="11"/>
      <c r="F81" s="11"/>
      <c r="G81" s="11"/>
      <c r="H81" s="12" t="str">
        <f aca="false">IF(F81="","",IFERROR(INDEX('Inventory Tracker'!$E$3:$E$52,MATCH(F81,'Inventory Tracker'!$B$3:$B$52,0)),0))</f>
        <v/>
      </c>
      <c r="I81" s="12" t="n">
        <f aca="false">IFERROR(G81*H81,0)</f>
        <v>0</v>
      </c>
      <c r="J81" s="11"/>
      <c r="K81" s="11"/>
      <c r="L81" s="11" t="n">
        <f aca="false">IFERROR(YEAR(D81),"")</f>
        <v>1899</v>
      </c>
      <c r="M81" s="11" t="n">
        <f aca="false">IFERROR(MONTH(D81),"")</f>
        <v>12</v>
      </c>
    </row>
    <row r="82" customFormat="false" ht="15" hidden="false" customHeight="false" outlineLevel="0" collapsed="false">
      <c r="A82" s="11"/>
      <c r="B82" s="11" t="str">
        <f aca="false">IF(A82="","",COUNTIF($A$3:A82,A82))</f>
        <v/>
      </c>
      <c r="C82" s="11" t="str">
        <f aca="false">IF(A82="","",A82&amp;"-"&amp;B82)</f>
        <v/>
      </c>
      <c r="D82" s="13"/>
      <c r="E82" s="11"/>
      <c r="F82" s="11"/>
      <c r="G82" s="11"/>
      <c r="H82" s="12" t="str">
        <f aca="false">IF(F82="","",IFERROR(INDEX('Inventory Tracker'!$E$3:$E$52,MATCH(F82,'Inventory Tracker'!$B$3:$B$52,0)),0))</f>
        <v/>
      </c>
      <c r="I82" s="12" t="n">
        <f aca="false">IFERROR(G82*H82,0)</f>
        <v>0</v>
      </c>
      <c r="J82" s="11"/>
      <c r="K82" s="11"/>
      <c r="L82" s="11" t="n">
        <f aca="false">IFERROR(YEAR(D82),"")</f>
        <v>1899</v>
      </c>
      <c r="M82" s="11" t="n">
        <f aca="false">IFERROR(MONTH(D82),"")</f>
        <v>12</v>
      </c>
    </row>
    <row r="83" customFormat="false" ht="15" hidden="false" customHeight="false" outlineLevel="0" collapsed="false">
      <c r="A83" s="11"/>
      <c r="B83" s="11" t="str">
        <f aca="false">IF(A83="","",COUNTIF($A$3:A83,A83))</f>
        <v/>
      </c>
      <c r="C83" s="11" t="str">
        <f aca="false">IF(A83="","",A83&amp;"-"&amp;B83)</f>
        <v/>
      </c>
      <c r="D83" s="13"/>
      <c r="E83" s="11"/>
      <c r="F83" s="11"/>
      <c r="G83" s="11"/>
      <c r="H83" s="12" t="str">
        <f aca="false">IF(F83="","",IFERROR(INDEX('Inventory Tracker'!$E$3:$E$52,MATCH(F83,'Inventory Tracker'!$B$3:$B$52,0)),0))</f>
        <v/>
      </c>
      <c r="I83" s="12" t="n">
        <f aca="false">IFERROR(G83*H83,0)</f>
        <v>0</v>
      </c>
      <c r="J83" s="11"/>
      <c r="K83" s="11"/>
      <c r="L83" s="11" t="n">
        <f aca="false">IFERROR(YEAR(D83),"")</f>
        <v>1899</v>
      </c>
      <c r="M83" s="11" t="n">
        <f aca="false">IFERROR(MONTH(D83),"")</f>
        <v>12</v>
      </c>
    </row>
    <row r="84" customFormat="false" ht="15" hidden="false" customHeight="false" outlineLevel="0" collapsed="false">
      <c r="A84" s="11"/>
      <c r="B84" s="11" t="str">
        <f aca="false">IF(A84="","",COUNTIF($A$3:A84,A84))</f>
        <v/>
      </c>
      <c r="C84" s="11" t="str">
        <f aca="false">IF(A84="","",A84&amp;"-"&amp;B84)</f>
        <v/>
      </c>
      <c r="D84" s="13"/>
      <c r="E84" s="11"/>
      <c r="F84" s="11"/>
      <c r="G84" s="11"/>
      <c r="H84" s="12" t="str">
        <f aca="false">IF(F84="","",IFERROR(INDEX('Inventory Tracker'!$E$3:$E$52,MATCH(F84,'Inventory Tracker'!$B$3:$B$52,0)),0))</f>
        <v/>
      </c>
      <c r="I84" s="12" t="n">
        <f aca="false">IFERROR(G84*H84,0)</f>
        <v>0</v>
      </c>
      <c r="J84" s="11"/>
      <c r="K84" s="11"/>
      <c r="L84" s="11" t="n">
        <f aca="false">IFERROR(YEAR(D84),"")</f>
        <v>1899</v>
      </c>
      <c r="M84" s="11" t="n">
        <f aca="false">IFERROR(MONTH(D84),"")</f>
        <v>12</v>
      </c>
    </row>
    <row r="85" customFormat="false" ht="15" hidden="false" customHeight="false" outlineLevel="0" collapsed="false">
      <c r="A85" s="11"/>
      <c r="B85" s="11" t="str">
        <f aca="false">IF(A85="","",COUNTIF($A$3:A85,A85))</f>
        <v/>
      </c>
      <c r="C85" s="11" t="str">
        <f aca="false">IF(A85="","",A85&amp;"-"&amp;B85)</f>
        <v/>
      </c>
      <c r="D85" s="13"/>
      <c r="E85" s="11"/>
      <c r="F85" s="11"/>
      <c r="G85" s="11"/>
      <c r="H85" s="12" t="str">
        <f aca="false">IF(F85="","",IFERROR(INDEX('Inventory Tracker'!$E$3:$E$52,MATCH(F85,'Inventory Tracker'!$B$3:$B$52,0)),0))</f>
        <v/>
      </c>
      <c r="I85" s="12" t="n">
        <f aca="false">IFERROR(G85*H85,0)</f>
        <v>0</v>
      </c>
      <c r="J85" s="11"/>
      <c r="K85" s="11"/>
      <c r="L85" s="11" t="n">
        <f aca="false">IFERROR(YEAR(D85),"")</f>
        <v>1899</v>
      </c>
      <c r="M85" s="11" t="n">
        <f aca="false">IFERROR(MONTH(D85),"")</f>
        <v>12</v>
      </c>
    </row>
    <row r="86" customFormat="false" ht="15" hidden="false" customHeight="false" outlineLevel="0" collapsed="false">
      <c r="A86" s="11"/>
      <c r="B86" s="11" t="str">
        <f aca="false">IF(A86="","",COUNTIF($A$3:A86,A86))</f>
        <v/>
      </c>
      <c r="C86" s="11" t="str">
        <f aca="false">IF(A86="","",A86&amp;"-"&amp;B86)</f>
        <v/>
      </c>
      <c r="D86" s="13"/>
      <c r="E86" s="11"/>
      <c r="F86" s="11"/>
      <c r="G86" s="11"/>
      <c r="H86" s="12" t="str">
        <f aca="false">IF(F86="","",IFERROR(INDEX('Inventory Tracker'!$E$3:$E$52,MATCH(F86,'Inventory Tracker'!$B$3:$B$52,0)),0))</f>
        <v/>
      </c>
      <c r="I86" s="12" t="n">
        <f aca="false">IFERROR(G86*H86,0)</f>
        <v>0</v>
      </c>
      <c r="J86" s="11"/>
      <c r="K86" s="11"/>
      <c r="L86" s="11" t="n">
        <f aca="false">IFERROR(YEAR(D86),"")</f>
        <v>1899</v>
      </c>
      <c r="M86" s="11" t="n">
        <f aca="false">IFERROR(MONTH(D86),"")</f>
        <v>12</v>
      </c>
    </row>
    <row r="87" customFormat="false" ht="15" hidden="false" customHeight="false" outlineLevel="0" collapsed="false">
      <c r="A87" s="11"/>
      <c r="B87" s="11" t="str">
        <f aca="false">IF(A87="","",COUNTIF($A$3:A87,A87))</f>
        <v/>
      </c>
      <c r="C87" s="11" t="str">
        <f aca="false">IF(A87="","",A87&amp;"-"&amp;B87)</f>
        <v/>
      </c>
      <c r="D87" s="13"/>
      <c r="E87" s="11"/>
      <c r="F87" s="11"/>
      <c r="G87" s="11"/>
      <c r="H87" s="12" t="str">
        <f aca="false">IF(F87="","",IFERROR(INDEX('Inventory Tracker'!$E$3:$E$52,MATCH(F87,'Inventory Tracker'!$B$3:$B$52,0)),0))</f>
        <v/>
      </c>
      <c r="I87" s="12" t="n">
        <f aca="false">IFERROR(G87*H87,0)</f>
        <v>0</v>
      </c>
      <c r="J87" s="11"/>
      <c r="K87" s="11"/>
      <c r="L87" s="11" t="n">
        <f aca="false">IFERROR(YEAR(D87),"")</f>
        <v>1899</v>
      </c>
      <c r="M87" s="11" t="n">
        <f aca="false">IFERROR(MONTH(D87),"")</f>
        <v>12</v>
      </c>
    </row>
    <row r="88" customFormat="false" ht="15" hidden="false" customHeight="false" outlineLevel="0" collapsed="false">
      <c r="A88" s="11"/>
      <c r="B88" s="11" t="str">
        <f aca="false">IF(A88="","",COUNTIF($A$3:A88,A88))</f>
        <v/>
      </c>
      <c r="C88" s="11" t="str">
        <f aca="false">IF(A88="","",A88&amp;"-"&amp;B88)</f>
        <v/>
      </c>
      <c r="D88" s="13"/>
      <c r="E88" s="11"/>
      <c r="F88" s="11"/>
      <c r="G88" s="11"/>
      <c r="H88" s="12" t="str">
        <f aca="false">IF(F88="","",IFERROR(INDEX('Inventory Tracker'!$E$3:$E$52,MATCH(F88,'Inventory Tracker'!$B$3:$B$52,0)),0))</f>
        <v/>
      </c>
      <c r="I88" s="12" t="n">
        <f aca="false">IFERROR(G88*H88,0)</f>
        <v>0</v>
      </c>
      <c r="J88" s="11"/>
      <c r="K88" s="11"/>
      <c r="L88" s="11" t="n">
        <f aca="false">IFERROR(YEAR(D88),"")</f>
        <v>1899</v>
      </c>
      <c r="M88" s="11" t="n">
        <f aca="false">IFERROR(MONTH(D88),"")</f>
        <v>12</v>
      </c>
    </row>
    <row r="89" customFormat="false" ht="15" hidden="false" customHeight="false" outlineLevel="0" collapsed="false">
      <c r="A89" s="11"/>
      <c r="B89" s="11" t="str">
        <f aca="false">IF(A89="","",COUNTIF($A$3:A89,A89))</f>
        <v/>
      </c>
      <c r="C89" s="11" t="str">
        <f aca="false">IF(A89="","",A89&amp;"-"&amp;B89)</f>
        <v/>
      </c>
      <c r="D89" s="13"/>
      <c r="E89" s="11"/>
      <c r="F89" s="11"/>
      <c r="G89" s="11"/>
      <c r="H89" s="12" t="str">
        <f aca="false">IF(F89="","",IFERROR(INDEX('Inventory Tracker'!$E$3:$E$52,MATCH(F89,'Inventory Tracker'!$B$3:$B$52,0)),0))</f>
        <v/>
      </c>
      <c r="I89" s="12" t="n">
        <f aca="false">IFERROR(G89*H89,0)</f>
        <v>0</v>
      </c>
      <c r="J89" s="11"/>
      <c r="K89" s="11"/>
      <c r="L89" s="11" t="n">
        <f aca="false">IFERROR(YEAR(D89),"")</f>
        <v>1899</v>
      </c>
      <c r="M89" s="11" t="n">
        <f aca="false">IFERROR(MONTH(D89),"")</f>
        <v>12</v>
      </c>
    </row>
    <row r="90" customFormat="false" ht="15" hidden="false" customHeight="false" outlineLevel="0" collapsed="false">
      <c r="A90" s="11"/>
      <c r="B90" s="11" t="str">
        <f aca="false">IF(A90="","",COUNTIF($A$3:A90,A90))</f>
        <v/>
      </c>
      <c r="C90" s="11" t="str">
        <f aca="false">IF(A90="","",A90&amp;"-"&amp;B90)</f>
        <v/>
      </c>
      <c r="D90" s="13"/>
      <c r="E90" s="11"/>
      <c r="F90" s="11"/>
      <c r="G90" s="11"/>
      <c r="H90" s="12" t="str">
        <f aca="false">IF(F90="","",IFERROR(INDEX('Inventory Tracker'!$E$3:$E$52,MATCH(F90,'Inventory Tracker'!$B$3:$B$52,0)),0))</f>
        <v/>
      </c>
      <c r="I90" s="12" t="n">
        <f aca="false">IFERROR(G90*H90,0)</f>
        <v>0</v>
      </c>
      <c r="J90" s="11"/>
      <c r="K90" s="11"/>
      <c r="L90" s="11" t="n">
        <f aca="false">IFERROR(YEAR(D90),"")</f>
        <v>1899</v>
      </c>
      <c r="M90" s="11" t="n">
        <f aca="false">IFERROR(MONTH(D90),"")</f>
        <v>12</v>
      </c>
    </row>
    <row r="91" customFormat="false" ht="15" hidden="false" customHeight="false" outlineLevel="0" collapsed="false">
      <c r="A91" s="11"/>
      <c r="B91" s="11" t="str">
        <f aca="false">IF(A91="","",COUNTIF($A$3:A91,A91))</f>
        <v/>
      </c>
      <c r="C91" s="11" t="str">
        <f aca="false">IF(A91="","",A91&amp;"-"&amp;B91)</f>
        <v/>
      </c>
      <c r="D91" s="13"/>
      <c r="E91" s="11"/>
      <c r="F91" s="11"/>
      <c r="G91" s="11"/>
      <c r="H91" s="12" t="str">
        <f aca="false">IF(F91="","",IFERROR(INDEX('Inventory Tracker'!$E$3:$E$52,MATCH(F91,'Inventory Tracker'!$B$3:$B$52,0)),0))</f>
        <v/>
      </c>
      <c r="I91" s="12" t="n">
        <f aca="false">IFERROR(G91*H91,0)</f>
        <v>0</v>
      </c>
      <c r="J91" s="11"/>
      <c r="K91" s="11"/>
      <c r="L91" s="11" t="n">
        <f aca="false">IFERROR(YEAR(D91),"")</f>
        <v>1899</v>
      </c>
      <c r="M91" s="11" t="n">
        <f aca="false">IFERROR(MONTH(D91),"")</f>
        <v>12</v>
      </c>
    </row>
    <row r="92" customFormat="false" ht="15" hidden="false" customHeight="false" outlineLevel="0" collapsed="false">
      <c r="A92" s="11"/>
      <c r="B92" s="11" t="str">
        <f aca="false">IF(A92="","",COUNTIF($A$3:A92,A92))</f>
        <v/>
      </c>
      <c r="C92" s="11" t="str">
        <f aca="false">IF(A92="","",A92&amp;"-"&amp;B92)</f>
        <v/>
      </c>
      <c r="D92" s="13"/>
      <c r="E92" s="11"/>
      <c r="F92" s="11"/>
      <c r="G92" s="11"/>
      <c r="H92" s="12" t="str">
        <f aca="false">IF(F92="","",IFERROR(INDEX('Inventory Tracker'!$E$3:$E$52,MATCH(F92,'Inventory Tracker'!$B$3:$B$52,0)),0))</f>
        <v/>
      </c>
      <c r="I92" s="12" t="n">
        <f aca="false">IFERROR(G92*H92,0)</f>
        <v>0</v>
      </c>
      <c r="J92" s="11"/>
      <c r="K92" s="11"/>
      <c r="L92" s="11" t="n">
        <f aca="false">IFERROR(YEAR(D92),"")</f>
        <v>1899</v>
      </c>
      <c r="M92" s="11" t="n">
        <f aca="false">IFERROR(MONTH(D92),"")</f>
        <v>12</v>
      </c>
    </row>
    <row r="93" customFormat="false" ht="15" hidden="false" customHeight="false" outlineLevel="0" collapsed="false">
      <c r="A93" s="11"/>
      <c r="B93" s="11" t="str">
        <f aca="false">IF(A93="","",COUNTIF($A$3:A93,A93))</f>
        <v/>
      </c>
      <c r="C93" s="11" t="str">
        <f aca="false">IF(A93="","",A93&amp;"-"&amp;B93)</f>
        <v/>
      </c>
      <c r="D93" s="13"/>
      <c r="E93" s="11"/>
      <c r="F93" s="11"/>
      <c r="G93" s="11"/>
      <c r="H93" s="12" t="str">
        <f aca="false">IF(F93="","",IFERROR(INDEX('Inventory Tracker'!$E$3:$E$52,MATCH(F93,'Inventory Tracker'!$B$3:$B$52,0)),0))</f>
        <v/>
      </c>
      <c r="I93" s="12" t="n">
        <f aca="false">IFERROR(G93*H93,0)</f>
        <v>0</v>
      </c>
      <c r="J93" s="11"/>
      <c r="K93" s="11"/>
      <c r="L93" s="11" t="n">
        <f aca="false">IFERROR(YEAR(D93),"")</f>
        <v>1899</v>
      </c>
      <c r="M93" s="11" t="n">
        <f aca="false">IFERROR(MONTH(D93),"")</f>
        <v>12</v>
      </c>
    </row>
    <row r="94" customFormat="false" ht="15" hidden="false" customHeight="false" outlineLevel="0" collapsed="false">
      <c r="A94" s="11"/>
      <c r="B94" s="11" t="str">
        <f aca="false">IF(A94="","",COUNTIF($A$3:A94,A94))</f>
        <v/>
      </c>
      <c r="C94" s="11" t="str">
        <f aca="false">IF(A94="","",A94&amp;"-"&amp;B94)</f>
        <v/>
      </c>
      <c r="D94" s="13"/>
      <c r="E94" s="11"/>
      <c r="F94" s="11"/>
      <c r="G94" s="11"/>
      <c r="H94" s="12" t="str">
        <f aca="false">IF(F94="","",IFERROR(INDEX('Inventory Tracker'!$E$3:$E$52,MATCH(F94,'Inventory Tracker'!$B$3:$B$52,0)),0))</f>
        <v/>
      </c>
      <c r="I94" s="12" t="n">
        <f aca="false">IFERROR(G94*H94,0)</f>
        <v>0</v>
      </c>
      <c r="J94" s="11"/>
      <c r="K94" s="11"/>
      <c r="L94" s="11" t="n">
        <f aca="false">IFERROR(YEAR(D94),"")</f>
        <v>1899</v>
      </c>
      <c r="M94" s="11" t="n">
        <f aca="false">IFERROR(MONTH(D94),"")</f>
        <v>12</v>
      </c>
    </row>
    <row r="95" customFormat="false" ht="15" hidden="false" customHeight="false" outlineLevel="0" collapsed="false">
      <c r="A95" s="11"/>
      <c r="B95" s="11" t="str">
        <f aca="false">IF(A95="","",COUNTIF($A$3:A95,A95))</f>
        <v/>
      </c>
      <c r="C95" s="11" t="str">
        <f aca="false">IF(A95="","",A95&amp;"-"&amp;B95)</f>
        <v/>
      </c>
      <c r="D95" s="13"/>
      <c r="E95" s="11"/>
      <c r="F95" s="11"/>
      <c r="G95" s="11"/>
      <c r="H95" s="12" t="str">
        <f aca="false">IF(F95="","",IFERROR(INDEX('Inventory Tracker'!$E$3:$E$52,MATCH(F95,'Inventory Tracker'!$B$3:$B$52,0)),0))</f>
        <v/>
      </c>
      <c r="I95" s="12" t="n">
        <f aca="false">IFERROR(G95*H95,0)</f>
        <v>0</v>
      </c>
      <c r="J95" s="11"/>
      <c r="K95" s="11"/>
      <c r="L95" s="11" t="n">
        <f aca="false">IFERROR(YEAR(D95),"")</f>
        <v>1899</v>
      </c>
      <c r="M95" s="11" t="n">
        <f aca="false">IFERROR(MONTH(D95),"")</f>
        <v>12</v>
      </c>
    </row>
    <row r="96" customFormat="false" ht="15" hidden="false" customHeight="false" outlineLevel="0" collapsed="false">
      <c r="A96" s="11"/>
      <c r="B96" s="11" t="str">
        <f aca="false">IF(A96="","",COUNTIF($A$3:A96,A96))</f>
        <v/>
      </c>
      <c r="C96" s="11" t="str">
        <f aca="false">IF(A96="","",A96&amp;"-"&amp;B96)</f>
        <v/>
      </c>
      <c r="D96" s="13"/>
      <c r="E96" s="11"/>
      <c r="F96" s="11"/>
      <c r="G96" s="11"/>
      <c r="H96" s="12" t="str">
        <f aca="false">IF(F96="","",IFERROR(INDEX('Inventory Tracker'!$E$3:$E$52,MATCH(F96,'Inventory Tracker'!$B$3:$B$52,0)),0))</f>
        <v/>
      </c>
      <c r="I96" s="12" t="n">
        <f aca="false">IFERROR(G96*H96,0)</f>
        <v>0</v>
      </c>
      <c r="J96" s="11"/>
      <c r="K96" s="11"/>
      <c r="L96" s="11" t="n">
        <f aca="false">IFERROR(YEAR(D96),"")</f>
        <v>1899</v>
      </c>
      <c r="M96" s="11" t="n">
        <f aca="false">IFERROR(MONTH(D96),"")</f>
        <v>12</v>
      </c>
    </row>
    <row r="97" customFormat="false" ht="15" hidden="false" customHeight="false" outlineLevel="0" collapsed="false">
      <c r="A97" s="11"/>
      <c r="B97" s="11" t="str">
        <f aca="false">IF(A97="","",COUNTIF($A$3:A97,A97))</f>
        <v/>
      </c>
      <c r="C97" s="11" t="str">
        <f aca="false">IF(A97="","",A97&amp;"-"&amp;B97)</f>
        <v/>
      </c>
      <c r="D97" s="13"/>
      <c r="E97" s="11"/>
      <c r="F97" s="11"/>
      <c r="G97" s="11"/>
      <c r="H97" s="12" t="str">
        <f aca="false">IF(F97="","",IFERROR(INDEX('Inventory Tracker'!$E$3:$E$52,MATCH(F97,'Inventory Tracker'!$B$3:$B$52,0)),0))</f>
        <v/>
      </c>
      <c r="I97" s="12" t="n">
        <f aca="false">IFERROR(G97*H97,0)</f>
        <v>0</v>
      </c>
      <c r="J97" s="11"/>
      <c r="K97" s="11"/>
      <c r="L97" s="11" t="n">
        <f aca="false">IFERROR(YEAR(D97),"")</f>
        <v>1899</v>
      </c>
      <c r="M97" s="11" t="n">
        <f aca="false">IFERROR(MONTH(D97),"")</f>
        <v>12</v>
      </c>
    </row>
    <row r="98" customFormat="false" ht="15" hidden="false" customHeight="false" outlineLevel="0" collapsed="false">
      <c r="A98" s="11"/>
      <c r="B98" s="11" t="str">
        <f aca="false">IF(A98="","",COUNTIF($A$3:A98,A98))</f>
        <v/>
      </c>
      <c r="C98" s="11" t="str">
        <f aca="false">IF(A98="","",A98&amp;"-"&amp;B98)</f>
        <v/>
      </c>
      <c r="D98" s="13"/>
      <c r="E98" s="11"/>
      <c r="F98" s="11"/>
      <c r="G98" s="11"/>
      <c r="H98" s="12" t="str">
        <f aca="false">IF(F98="","",IFERROR(INDEX('Inventory Tracker'!$E$3:$E$52,MATCH(F98,'Inventory Tracker'!$B$3:$B$52,0)),0))</f>
        <v/>
      </c>
      <c r="I98" s="12" t="n">
        <f aca="false">IFERROR(G98*H98,0)</f>
        <v>0</v>
      </c>
      <c r="J98" s="11"/>
      <c r="K98" s="11"/>
      <c r="L98" s="11" t="n">
        <f aca="false">IFERROR(YEAR(D98),"")</f>
        <v>1899</v>
      </c>
      <c r="M98" s="11" t="n">
        <f aca="false">IFERROR(MONTH(D98),"")</f>
        <v>12</v>
      </c>
    </row>
    <row r="99" customFormat="false" ht="15" hidden="false" customHeight="false" outlineLevel="0" collapsed="false">
      <c r="A99" s="11"/>
      <c r="B99" s="11" t="str">
        <f aca="false">IF(A99="","",COUNTIF($A$3:A99,A99))</f>
        <v/>
      </c>
      <c r="C99" s="11" t="str">
        <f aca="false">IF(A99="","",A99&amp;"-"&amp;B99)</f>
        <v/>
      </c>
      <c r="D99" s="13"/>
      <c r="E99" s="11"/>
      <c r="F99" s="11"/>
      <c r="G99" s="11"/>
      <c r="H99" s="12" t="str">
        <f aca="false">IF(F99="","",IFERROR(INDEX('Inventory Tracker'!$E$3:$E$52,MATCH(F99,'Inventory Tracker'!$B$3:$B$52,0)),0))</f>
        <v/>
      </c>
      <c r="I99" s="12" t="n">
        <f aca="false">IFERROR(G99*H99,0)</f>
        <v>0</v>
      </c>
      <c r="J99" s="11"/>
      <c r="K99" s="11"/>
      <c r="L99" s="11" t="n">
        <f aca="false">IFERROR(YEAR(D99),"")</f>
        <v>1899</v>
      </c>
      <c r="M99" s="11" t="n">
        <f aca="false">IFERROR(MONTH(D99),"")</f>
        <v>12</v>
      </c>
    </row>
    <row r="100" customFormat="false" ht="15" hidden="false" customHeight="false" outlineLevel="0" collapsed="false">
      <c r="A100" s="11"/>
      <c r="B100" s="11" t="str">
        <f aca="false">IF(A100="","",COUNTIF($A$3:A100,A100))</f>
        <v/>
      </c>
      <c r="C100" s="11" t="str">
        <f aca="false">IF(A100="","",A100&amp;"-"&amp;B100)</f>
        <v/>
      </c>
      <c r="D100" s="13"/>
      <c r="E100" s="11"/>
      <c r="F100" s="11"/>
      <c r="G100" s="11"/>
      <c r="H100" s="12" t="str">
        <f aca="false">IF(F100="","",IFERROR(INDEX('Inventory Tracker'!$E$3:$E$52,MATCH(F100,'Inventory Tracker'!$B$3:$B$52,0)),0))</f>
        <v/>
      </c>
      <c r="I100" s="12" t="n">
        <f aca="false">IFERROR(G100*H100,0)</f>
        <v>0</v>
      </c>
      <c r="J100" s="11"/>
      <c r="K100" s="11"/>
      <c r="L100" s="11" t="n">
        <f aca="false">IFERROR(YEAR(D100),"")</f>
        <v>1899</v>
      </c>
      <c r="M100" s="11" t="n">
        <f aca="false">IFERROR(MONTH(D100),"")</f>
        <v>12</v>
      </c>
    </row>
    <row r="101" customFormat="false" ht="15" hidden="false" customHeight="false" outlineLevel="0" collapsed="false">
      <c r="A101" s="11"/>
      <c r="B101" s="11" t="str">
        <f aca="false">IF(A101="","",COUNTIF($A$3:A101,A101))</f>
        <v/>
      </c>
      <c r="C101" s="11" t="str">
        <f aca="false">IF(A101="","",A101&amp;"-"&amp;B101)</f>
        <v/>
      </c>
      <c r="D101" s="13"/>
      <c r="E101" s="11"/>
      <c r="F101" s="11"/>
      <c r="G101" s="11"/>
      <c r="H101" s="12" t="str">
        <f aca="false">IF(F101="","",IFERROR(INDEX('Inventory Tracker'!$E$3:$E$52,MATCH(F101,'Inventory Tracker'!$B$3:$B$52,0)),0))</f>
        <v/>
      </c>
      <c r="I101" s="12" t="n">
        <f aca="false">IFERROR(G101*H101,0)</f>
        <v>0</v>
      </c>
      <c r="J101" s="11"/>
      <c r="K101" s="11"/>
      <c r="L101" s="11" t="n">
        <f aca="false">IFERROR(YEAR(D101),"")</f>
        <v>1899</v>
      </c>
      <c r="M101" s="11" t="n">
        <f aca="false">IFERROR(MONTH(D101),"")</f>
        <v>12</v>
      </c>
    </row>
    <row r="102" customFormat="false" ht="15" hidden="false" customHeight="false" outlineLevel="0" collapsed="false">
      <c r="A102" s="11"/>
      <c r="B102" s="11" t="str">
        <f aca="false">IF(A102="","",COUNTIF($A$3:A102,A102))</f>
        <v/>
      </c>
      <c r="C102" s="11" t="str">
        <f aca="false">IF(A102="","",A102&amp;"-"&amp;B102)</f>
        <v/>
      </c>
      <c r="D102" s="13"/>
      <c r="E102" s="11"/>
      <c r="F102" s="11"/>
      <c r="G102" s="11"/>
      <c r="H102" s="12" t="str">
        <f aca="false">IF(F102="","",IFERROR(INDEX('Inventory Tracker'!$E$3:$E$52,MATCH(F102,'Inventory Tracker'!$B$3:$B$52,0)),0))</f>
        <v/>
      </c>
      <c r="I102" s="12" t="n">
        <f aca="false">IFERROR(G102*H102,0)</f>
        <v>0</v>
      </c>
      <c r="J102" s="11"/>
      <c r="K102" s="11"/>
      <c r="L102" s="11" t="n">
        <f aca="false">IFERROR(YEAR(D102),"")</f>
        <v>1899</v>
      </c>
      <c r="M102" s="11" t="n">
        <f aca="false">IFERROR(MONTH(D102),"")</f>
        <v>12</v>
      </c>
    </row>
  </sheetData>
  <mergeCells count="1">
    <mergeCell ref="A1:N1"/>
  </mergeCells>
  <conditionalFormatting sqref="A3:M102">
    <cfRule type="expression" priority="2" aboveAverage="0" equalAverage="0" bottom="0" percent="0" rank="0" text="" dxfId="1">
      <formula>$J3="Delivered"</formula>
    </cfRule>
    <cfRule type="expression" priority="3" aboveAverage="0" equalAverage="0" bottom="0" percent="0" rank="0" text="" dxfId="0">
      <formula>$J3="Cancelled"</formula>
    </cfRule>
    <cfRule type="expression" priority="4" aboveAverage="0" equalAverage="0" bottom="0" percent="0" rank="0" text="" dxfId="2">
      <formula>$J3="Pending"</formula>
    </cfRule>
  </conditionalFormatting>
  <dataValidations count="4">
    <dataValidation allowBlank="true" errorStyle="stop" operator="between" showDropDown="false" showErrorMessage="false" showInputMessage="false" sqref="E3:E102" type="list">
      <formula1>'Customer Tracker'!$B$3:$B$52</formula1>
      <formula2>0</formula2>
    </dataValidation>
    <dataValidation allowBlank="true" errorStyle="stop" operator="between" showDropDown="false" showErrorMessage="false" showInputMessage="false" sqref="F3:F102" type="list">
      <formula1>'Inventory Tracker'!$B$3:$B$52</formula1>
      <formula2>0</formula2>
    </dataValidation>
    <dataValidation allowBlank="true" errorStyle="stop" operator="between" showDropDown="false" showErrorMessage="false" showInputMessage="false" sqref="J3:J102" type="list">
      <formula1>Setup!$C$9:$C$13</formula1>
      <formula2>0</formula2>
    </dataValidation>
    <dataValidation allowBlank="true" errorStyle="stop" operator="between" showDropDown="false" showErrorMessage="false" showInputMessage="false" sqref="K3:K102" type="list">
      <formula1>Setup!$D$9:$D$11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6"/>
    <col collapsed="false" customWidth="true" hidden="false" outlineLevel="0" max="6" min="6" style="0" width="16"/>
  </cols>
  <sheetData>
    <row r="1" customFormat="false" ht="24.45" hidden="false" customHeight="false" outlineLevel="0" collapsed="false">
      <c r="A1" s="14" t="s">
        <v>76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4" t="str">
        <f aca="false">"{{NICHE}}  |  "&amp;Setup!$B$4</f>
        <v>{{NICHE}}  |  hello@example.com</v>
      </c>
      <c r="B2" s="4"/>
      <c r="C2" s="4"/>
      <c r="D2" s="4"/>
      <c r="E2" s="4"/>
      <c r="F2" s="4"/>
    </row>
    <row r="4" customFormat="false" ht="15" hidden="false" customHeight="false" outlineLevel="0" collapsed="false">
      <c r="E4" s="6" t="s">
        <v>77</v>
      </c>
      <c r="F4" s="15" t="n">
        <v>1001</v>
      </c>
    </row>
    <row r="5" customFormat="false" ht="15" hidden="false" customHeight="false" outlineLevel="0" collapsed="false">
      <c r="A5" s="6" t="s">
        <v>78</v>
      </c>
      <c r="E5" s="6" t="s">
        <v>79</v>
      </c>
      <c r="F5" s="9" t="str">
        <f aca="false">Setup!$B$6&amp;F4</f>
        <v>INV-1001</v>
      </c>
    </row>
    <row r="6" customFormat="false" ht="15" hidden="false" customHeight="false" outlineLevel="0" collapsed="false">
      <c r="A6" s="9" t="str">
        <f aca="false">IFERROR(INDEX('Order Tracker'!$E$3:$E$102,MATCH($F$4&amp;"-1",'Order Tracker'!$C$3:$C$102,0)),"")</f>
        <v/>
      </c>
    </row>
    <row r="7" customFormat="false" ht="15" hidden="false" customHeight="false" outlineLevel="0" collapsed="false">
      <c r="A7" s="6" t="s">
        <v>80</v>
      </c>
      <c r="B7" s="16" t="str">
        <f aca="false">IFERROR(INDEX('Order Tracker'!$D$3:$D$102,MATCH($F$4&amp;"-1",'Order Tracker'!$C$3:$C$102,0)),"")</f>
        <v/>
      </c>
    </row>
    <row r="8" customFormat="false" ht="15" hidden="false" customHeight="false" outlineLevel="0" collapsed="false">
      <c r="A8" s="6" t="s">
        <v>81</v>
      </c>
      <c r="B8" s="9" t="str">
        <f aca="false">IFERROR(INDEX('Order Tracker'!$J$3:$J$102,MATCH($F$4&amp;"-1",'Order Tracker'!$C$3:$C$102,0)),"")</f>
        <v/>
      </c>
    </row>
    <row r="9" customFormat="false" ht="15" hidden="false" customHeight="false" outlineLevel="0" collapsed="false">
      <c r="A9" s="6" t="s">
        <v>82</v>
      </c>
      <c r="B9" s="9" t="str">
        <f aca="false">IFERROR(INDEX('Order Tracker'!$K$3:$K$102,MATCH($F$4&amp;"-1",'Order Tracker'!$C$3:$C$102,0)),"")</f>
        <v/>
      </c>
    </row>
    <row r="11" customFormat="false" ht="26.85" hidden="false" customHeight="false" outlineLevel="0" collapsed="false">
      <c r="A11" s="10" t="s">
        <v>68</v>
      </c>
      <c r="B11" s="10" t="s">
        <v>69</v>
      </c>
      <c r="C11" s="10" t="s">
        <v>70</v>
      </c>
      <c r="D11" s="10" t="s">
        <v>71</v>
      </c>
    </row>
    <row r="12" customFormat="false" ht="15" hidden="false" customHeight="false" outlineLevel="0" collapsed="false">
      <c r="A12" s="11" t="str">
        <f aca="false">IFERROR(INDEX('Order Tracker'!$F$3:$F$102,MATCH($F$4&amp;"-"&amp;1,'Order Tracker'!$C$3:$C$102,0)),"")</f>
        <v/>
      </c>
      <c r="B12" s="11" t="str">
        <f aca="false">IFERROR(INDEX('Order Tracker'!$G$3:$G$102,MATCH($F$4&amp;"-"&amp;1,'Order Tracker'!$C$3:$C$102,0)),"")</f>
        <v/>
      </c>
      <c r="C12" s="12" t="str">
        <f aca="false">IFERROR(INDEX('Order Tracker'!$H$3:$H$102,MATCH($F$4&amp;"-"&amp;1,'Order Tracker'!$C$3:$C$102,0)),"")</f>
        <v/>
      </c>
      <c r="D12" s="12" t="str">
        <f aca="false">IFERROR(INDEX('Order Tracker'!$I$3:$I$102,MATCH($F$4&amp;"-"&amp;1,'Order Tracker'!$C$3:$C$102,0)),"")</f>
        <v/>
      </c>
    </row>
    <row r="13" customFormat="false" ht="15" hidden="false" customHeight="false" outlineLevel="0" collapsed="false">
      <c r="A13" s="11" t="str">
        <f aca="false">IFERROR(INDEX('Order Tracker'!$F$3:$F$102,MATCH($F$4&amp;"-"&amp;2,'Order Tracker'!$C$3:$C$102,0)),"")</f>
        <v/>
      </c>
      <c r="B13" s="11" t="str">
        <f aca="false">IFERROR(INDEX('Order Tracker'!$G$3:$G$102,MATCH($F$4&amp;"-"&amp;2,'Order Tracker'!$C$3:$C$102,0)),"")</f>
        <v/>
      </c>
      <c r="C13" s="12" t="str">
        <f aca="false">IFERROR(INDEX('Order Tracker'!$H$3:$H$102,MATCH($F$4&amp;"-"&amp;2,'Order Tracker'!$C$3:$C$102,0)),"")</f>
        <v/>
      </c>
      <c r="D13" s="12" t="str">
        <f aca="false">IFERROR(INDEX('Order Tracker'!$I$3:$I$102,MATCH($F$4&amp;"-"&amp;2,'Order Tracker'!$C$3:$C$102,0)),"")</f>
        <v/>
      </c>
    </row>
    <row r="14" customFormat="false" ht="15" hidden="false" customHeight="false" outlineLevel="0" collapsed="false">
      <c r="A14" s="11" t="str">
        <f aca="false">IFERROR(INDEX('Order Tracker'!$F$3:$F$102,MATCH($F$4&amp;"-"&amp;3,'Order Tracker'!$C$3:$C$102,0)),"")</f>
        <v/>
      </c>
      <c r="B14" s="11" t="str">
        <f aca="false">IFERROR(INDEX('Order Tracker'!$G$3:$G$102,MATCH($F$4&amp;"-"&amp;3,'Order Tracker'!$C$3:$C$102,0)),"")</f>
        <v/>
      </c>
      <c r="C14" s="12" t="str">
        <f aca="false">IFERROR(INDEX('Order Tracker'!$H$3:$H$102,MATCH($F$4&amp;"-"&amp;3,'Order Tracker'!$C$3:$C$102,0)),"")</f>
        <v/>
      </c>
      <c r="D14" s="12" t="str">
        <f aca="false">IFERROR(INDEX('Order Tracker'!$I$3:$I$102,MATCH($F$4&amp;"-"&amp;3,'Order Tracker'!$C$3:$C$102,0)),"")</f>
        <v/>
      </c>
    </row>
    <row r="15" customFormat="false" ht="15" hidden="false" customHeight="false" outlineLevel="0" collapsed="false">
      <c r="A15" s="11" t="str">
        <f aca="false">IFERROR(INDEX('Order Tracker'!$F$3:$F$102,MATCH($F$4&amp;"-"&amp;4,'Order Tracker'!$C$3:$C$102,0)),"")</f>
        <v/>
      </c>
      <c r="B15" s="11" t="str">
        <f aca="false">IFERROR(INDEX('Order Tracker'!$G$3:$G$102,MATCH($F$4&amp;"-"&amp;4,'Order Tracker'!$C$3:$C$102,0)),"")</f>
        <v/>
      </c>
      <c r="C15" s="12" t="str">
        <f aca="false">IFERROR(INDEX('Order Tracker'!$H$3:$H$102,MATCH($F$4&amp;"-"&amp;4,'Order Tracker'!$C$3:$C$102,0)),"")</f>
        <v/>
      </c>
      <c r="D15" s="12" t="str">
        <f aca="false">IFERROR(INDEX('Order Tracker'!$I$3:$I$102,MATCH($F$4&amp;"-"&amp;4,'Order Tracker'!$C$3:$C$102,0)),"")</f>
        <v/>
      </c>
    </row>
    <row r="16" customFormat="false" ht="15" hidden="false" customHeight="false" outlineLevel="0" collapsed="false">
      <c r="A16" s="11" t="str">
        <f aca="false">IFERROR(INDEX('Order Tracker'!$F$3:$F$102,MATCH($F$4&amp;"-"&amp;5,'Order Tracker'!$C$3:$C$102,0)),"")</f>
        <v/>
      </c>
      <c r="B16" s="11" t="str">
        <f aca="false">IFERROR(INDEX('Order Tracker'!$G$3:$G$102,MATCH($F$4&amp;"-"&amp;5,'Order Tracker'!$C$3:$C$102,0)),"")</f>
        <v/>
      </c>
      <c r="C16" s="12" t="str">
        <f aca="false">IFERROR(INDEX('Order Tracker'!$H$3:$H$102,MATCH($F$4&amp;"-"&amp;5,'Order Tracker'!$C$3:$C$102,0)),"")</f>
        <v/>
      </c>
      <c r="D16" s="12" t="str">
        <f aca="false">IFERROR(INDEX('Order Tracker'!$I$3:$I$102,MATCH($F$4&amp;"-"&amp;5,'Order Tracker'!$C$3:$C$102,0)),"")</f>
        <v/>
      </c>
    </row>
    <row r="17" customFormat="false" ht="15" hidden="false" customHeight="false" outlineLevel="0" collapsed="false">
      <c r="A17" s="11" t="str">
        <f aca="false">IFERROR(INDEX('Order Tracker'!$F$3:$F$102,MATCH($F$4&amp;"-"&amp;6,'Order Tracker'!$C$3:$C$102,0)),"")</f>
        <v/>
      </c>
      <c r="B17" s="11" t="str">
        <f aca="false">IFERROR(INDEX('Order Tracker'!$G$3:$G$102,MATCH($F$4&amp;"-"&amp;6,'Order Tracker'!$C$3:$C$102,0)),"")</f>
        <v/>
      </c>
      <c r="C17" s="12" t="str">
        <f aca="false">IFERROR(INDEX('Order Tracker'!$H$3:$H$102,MATCH($F$4&amp;"-"&amp;6,'Order Tracker'!$C$3:$C$102,0)),"")</f>
        <v/>
      </c>
      <c r="D17" s="12" t="str">
        <f aca="false">IFERROR(INDEX('Order Tracker'!$I$3:$I$102,MATCH($F$4&amp;"-"&amp;6,'Order Tracker'!$C$3:$C$102,0)),"")</f>
        <v/>
      </c>
    </row>
    <row r="18" customFormat="false" ht="15" hidden="false" customHeight="false" outlineLevel="0" collapsed="false">
      <c r="A18" s="11" t="str">
        <f aca="false">IFERROR(INDEX('Order Tracker'!$F$3:$F$102,MATCH($F$4&amp;"-"&amp;7,'Order Tracker'!$C$3:$C$102,0)),"")</f>
        <v/>
      </c>
      <c r="B18" s="11" t="str">
        <f aca="false">IFERROR(INDEX('Order Tracker'!$G$3:$G$102,MATCH($F$4&amp;"-"&amp;7,'Order Tracker'!$C$3:$C$102,0)),"")</f>
        <v/>
      </c>
      <c r="C18" s="12" t="str">
        <f aca="false">IFERROR(INDEX('Order Tracker'!$H$3:$H$102,MATCH($F$4&amp;"-"&amp;7,'Order Tracker'!$C$3:$C$102,0)),"")</f>
        <v/>
      </c>
      <c r="D18" s="12" t="str">
        <f aca="false">IFERROR(INDEX('Order Tracker'!$I$3:$I$102,MATCH($F$4&amp;"-"&amp;7,'Order Tracker'!$C$3:$C$102,0)),"")</f>
        <v/>
      </c>
    </row>
    <row r="19" customFormat="false" ht="15" hidden="false" customHeight="false" outlineLevel="0" collapsed="false">
      <c r="A19" s="11" t="str">
        <f aca="false">IFERROR(INDEX('Order Tracker'!$F$3:$F$102,MATCH($F$4&amp;"-"&amp;8,'Order Tracker'!$C$3:$C$102,0)),"")</f>
        <v/>
      </c>
      <c r="B19" s="11" t="str">
        <f aca="false">IFERROR(INDEX('Order Tracker'!$G$3:$G$102,MATCH($F$4&amp;"-"&amp;8,'Order Tracker'!$C$3:$C$102,0)),"")</f>
        <v/>
      </c>
      <c r="C19" s="12" t="str">
        <f aca="false">IFERROR(INDEX('Order Tracker'!$H$3:$H$102,MATCH($F$4&amp;"-"&amp;8,'Order Tracker'!$C$3:$C$102,0)),"")</f>
        <v/>
      </c>
      <c r="D19" s="12" t="str">
        <f aca="false">IFERROR(INDEX('Order Tracker'!$I$3:$I$102,MATCH($F$4&amp;"-"&amp;8,'Order Tracker'!$C$3:$C$102,0)),"")</f>
        <v/>
      </c>
    </row>
    <row r="20" customFormat="false" ht="15" hidden="false" customHeight="false" outlineLevel="0" collapsed="false">
      <c r="A20" s="11" t="str">
        <f aca="false">IFERROR(INDEX('Order Tracker'!$F$3:$F$102,MATCH($F$4&amp;"-"&amp;9,'Order Tracker'!$C$3:$C$102,0)),"")</f>
        <v/>
      </c>
      <c r="B20" s="11" t="str">
        <f aca="false">IFERROR(INDEX('Order Tracker'!$G$3:$G$102,MATCH($F$4&amp;"-"&amp;9,'Order Tracker'!$C$3:$C$102,0)),"")</f>
        <v/>
      </c>
      <c r="C20" s="12" t="str">
        <f aca="false">IFERROR(INDEX('Order Tracker'!$H$3:$H$102,MATCH($F$4&amp;"-"&amp;9,'Order Tracker'!$C$3:$C$102,0)),"")</f>
        <v/>
      </c>
      <c r="D20" s="12" t="str">
        <f aca="false">IFERROR(INDEX('Order Tracker'!$I$3:$I$102,MATCH($F$4&amp;"-"&amp;9,'Order Tracker'!$C$3:$C$102,0)),"")</f>
        <v/>
      </c>
    </row>
    <row r="21" customFormat="false" ht="15" hidden="false" customHeight="false" outlineLevel="0" collapsed="false">
      <c r="A21" s="11" t="str">
        <f aca="false">IFERROR(INDEX('Order Tracker'!$F$3:$F$102,MATCH($F$4&amp;"-"&amp;10,'Order Tracker'!$C$3:$C$102,0)),"")</f>
        <v/>
      </c>
      <c r="B21" s="11" t="str">
        <f aca="false">IFERROR(INDEX('Order Tracker'!$G$3:$G$102,MATCH($F$4&amp;"-"&amp;10,'Order Tracker'!$C$3:$C$102,0)),"")</f>
        <v/>
      </c>
      <c r="C21" s="12" t="str">
        <f aca="false">IFERROR(INDEX('Order Tracker'!$H$3:$H$102,MATCH($F$4&amp;"-"&amp;10,'Order Tracker'!$C$3:$C$102,0)),"")</f>
        <v/>
      </c>
      <c r="D21" s="12" t="str">
        <f aca="false">IFERROR(INDEX('Order Tracker'!$I$3:$I$102,MATCH($F$4&amp;"-"&amp;10,'Order Tracker'!$C$3:$C$102,0)),"")</f>
        <v/>
      </c>
    </row>
    <row r="23" customFormat="false" ht="15" hidden="false" customHeight="false" outlineLevel="0" collapsed="false">
      <c r="C23" s="17" t="s">
        <v>83</v>
      </c>
      <c r="D23" s="18" t="n">
        <f aca="false">SUM(D12:D21)</f>
        <v>0</v>
      </c>
    </row>
    <row r="24" customFormat="false" ht="15" hidden="false" customHeight="false" outlineLevel="0" collapsed="false">
      <c r="C24" s="17" t="s">
        <v>84</v>
      </c>
      <c r="D24" s="18" t="n">
        <f aca="false">D23*Setup!$B$5</f>
        <v>0</v>
      </c>
    </row>
    <row r="25" customFormat="false" ht="17.35" hidden="false" customHeight="false" outlineLevel="0" collapsed="false">
      <c r="C25" s="19" t="s">
        <v>85</v>
      </c>
      <c r="D25" s="20" t="n">
        <f aca="false">D23+D24</f>
        <v>0</v>
      </c>
    </row>
    <row r="27" customFormat="false" ht="15" hidden="false" customHeight="false" outlineLevel="0" collapsed="false">
      <c r="A27" s="3" t="s">
        <v>86</v>
      </c>
      <c r="B27" s="3"/>
      <c r="C27" s="3"/>
      <c r="D27" s="3"/>
      <c r="E27" s="3"/>
      <c r="F27" s="3"/>
    </row>
  </sheetData>
  <mergeCells count="3">
    <mergeCell ref="A1:F1"/>
    <mergeCell ref="A2:F2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6"/>
  </cols>
  <sheetData>
    <row r="1" customFormat="false" ht="30" hidden="false" customHeight="true" outlineLevel="0" collapsed="false">
      <c r="A1" s="21" t="s">
        <v>87</v>
      </c>
      <c r="B1" s="21"/>
      <c r="C1" s="21"/>
      <c r="D1" s="21"/>
      <c r="E1" s="21"/>
      <c r="F1" s="21"/>
      <c r="G1" s="21"/>
      <c r="H1" s="21"/>
    </row>
    <row r="2" customFormat="false" ht="21.75" hidden="false" customHeight="true" outlineLevel="0" collapsed="false">
      <c r="A2" s="22" t="s">
        <v>88</v>
      </c>
      <c r="B2" s="22"/>
      <c r="C2" s="22"/>
      <c r="D2" s="22"/>
      <c r="E2" s="22"/>
      <c r="F2" s="22"/>
      <c r="G2" s="22"/>
      <c r="H2" s="22"/>
    </row>
    <row r="5" customFormat="false" ht="24" hidden="false" customHeight="true" outlineLevel="0" collapsed="false">
      <c r="A5" s="23" t="s">
        <v>42</v>
      </c>
      <c r="B5" s="23" t="s">
        <v>89</v>
      </c>
      <c r="C5" s="23" t="s">
        <v>90</v>
      </c>
      <c r="D5" s="23" t="s">
        <v>91</v>
      </c>
      <c r="E5" s="24"/>
      <c r="F5" s="24"/>
      <c r="G5" s="24"/>
      <c r="H5" s="24"/>
    </row>
    <row r="6" customFormat="false" ht="30" hidden="false" customHeight="true" outlineLevel="0" collapsed="false">
      <c r="A6" s="25" t="n">
        <f aca="false">SUMPRODUCT(('Order Tracker'!$B$3:$B$102=1)*1)</f>
        <v>0</v>
      </c>
      <c r="B6" s="26" t="n">
        <f aca="false">SUM('Order Tracker'!$I$3:$I$102)</f>
        <v>0</v>
      </c>
      <c r="C6" s="25" t="n">
        <f aca="false">COUNTA('Customer Tracker'!$B$3:$B$52)</f>
        <v>0</v>
      </c>
      <c r="D6" s="26" t="n">
        <f aca="false">IFERROR(B6/A6,0)</f>
        <v>0</v>
      </c>
      <c r="E6" s="24"/>
      <c r="F6" s="24"/>
      <c r="G6" s="24"/>
      <c r="H6" s="24"/>
    </row>
    <row r="9" customFormat="false" ht="15" hidden="false" customHeight="false" outlineLevel="0" collapsed="false">
      <c r="A9" s="6" t="s">
        <v>92</v>
      </c>
    </row>
    <row r="10" customFormat="false" ht="15" hidden="false" customHeight="false" outlineLevel="0" collapsed="false">
      <c r="A10" s="27" t="s">
        <v>58</v>
      </c>
      <c r="B10" s="27" t="s">
        <v>93</v>
      </c>
    </row>
    <row r="11" customFormat="false" ht="15" hidden="false" customHeight="false" outlineLevel="0" collapsed="false">
      <c r="A11" s="9" t="s">
        <v>23</v>
      </c>
      <c r="B11" s="9" t="n">
        <f aca="false">COUNTIFS('Order Tracker'!$J$3:$J$102,"Pending",'Order Tracker'!$B$3:$B$102,1)</f>
        <v>0</v>
      </c>
    </row>
    <row r="12" customFormat="false" ht="15" hidden="false" customHeight="false" outlineLevel="0" collapsed="false">
      <c r="A12" s="9" t="s">
        <v>26</v>
      </c>
      <c r="B12" s="9" t="n">
        <f aca="false">COUNTIFS('Order Tracker'!$J$3:$J$102,"In Production",'Order Tracker'!$B$3:$B$102,1)</f>
        <v>0</v>
      </c>
    </row>
    <row r="13" customFormat="false" ht="15" hidden="false" customHeight="false" outlineLevel="0" collapsed="false">
      <c r="A13" s="9" t="s">
        <v>29</v>
      </c>
      <c r="B13" s="9" t="n">
        <f aca="false">COUNTIFS('Order Tracker'!$J$3:$J$102,"Shipped",'Order Tracker'!$B$3:$B$102,1)</f>
        <v>0</v>
      </c>
    </row>
    <row r="14" customFormat="false" ht="15" hidden="false" customHeight="false" outlineLevel="0" collapsed="false">
      <c r="A14" s="9" t="s">
        <v>32</v>
      </c>
      <c r="B14" s="9" t="n">
        <f aca="false">COUNTIFS('Order Tracker'!$J$3:$J$102,"Delivered",'Order Tracker'!$B$3:$B$102,1)</f>
        <v>0</v>
      </c>
    </row>
    <row r="15" customFormat="false" ht="15" hidden="false" customHeight="false" outlineLevel="0" collapsed="false">
      <c r="A15" s="9" t="s">
        <v>34</v>
      </c>
      <c r="B15" s="9" t="n">
        <f aca="false">COUNTIFS('Order Tracker'!$J$3:$J$102,"Cancelled",'Order Tracker'!$B$3:$B$102,1)</f>
        <v>0</v>
      </c>
    </row>
    <row r="18" customFormat="false" ht="15" hidden="false" customHeight="false" outlineLevel="0" collapsed="false">
      <c r="A18" s="6" t="s">
        <v>94</v>
      </c>
      <c r="C18" s="6" t="s">
        <v>74</v>
      </c>
      <c r="D18" s="28" t="n">
        <v>2026</v>
      </c>
    </row>
    <row r="19" customFormat="false" ht="15" hidden="false" customHeight="false" outlineLevel="0" collapsed="false">
      <c r="A19" s="27" t="s">
        <v>75</v>
      </c>
      <c r="B19" s="27" t="s">
        <v>95</v>
      </c>
    </row>
    <row r="20" customFormat="false" ht="15" hidden="false" customHeight="false" outlineLevel="0" collapsed="false">
      <c r="A20" s="9" t="s">
        <v>96</v>
      </c>
      <c r="B20" s="29" t="n">
        <f aca="false">SUMIFS('Order Tracker'!$I$3:$I$102,'Order Tracker'!$L$3:$L$102,$D$18,'Order Tracker'!$M$3:$M$102,1)</f>
        <v>0</v>
      </c>
    </row>
    <row r="21" customFormat="false" ht="15" hidden="false" customHeight="false" outlineLevel="0" collapsed="false">
      <c r="A21" s="9" t="s">
        <v>97</v>
      </c>
      <c r="B21" s="29" t="n">
        <f aca="false">SUMIFS('Order Tracker'!$I$3:$I$102,'Order Tracker'!$L$3:$L$102,$D$18,'Order Tracker'!$M$3:$M$102,2)</f>
        <v>0</v>
      </c>
    </row>
    <row r="22" customFormat="false" ht="15" hidden="false" customHeight="false" outlineLevel="0" collapsed="false">
      <c r="A22" s="9" t="s">
        <v>98</v>
      </c>
      <c r="B22" s="29" t="n">
        <f aca="false">SUMIFS('Order Tracker'!$I$3:$I$102,'Order Tracker'!$L$3:$L$102,$D$18,'Order Tracker'!$M$3:$M$102,3)</f>
        <v>0</v>
      </c>
    </row>
    <row r="23" customFormat="false" ht="15" hidden="false" customHeight="false" outlineLevel="0" collapsed="false">
      <c r="A23" s="9" t="s">
        <v>99</v>
      </c>
      <c r="B23" s="29" t="n">
        <f aca="false">SUMIFS('Order Tracker'!$I$3:$I$102,'Order Tracker'!$L$3:$L$102,$D$18,'Order Tracker'!$M$3:$M$102,4)</f>
        <v>0</v>
      </c>
    </row>
    <row r="24" customFormat="false" ht="15" hidden="false" customHeight="false" outlineLevel="0" collapsed="false">
      <c r="A24" s="9" t="s">
        <v>100</v>
      </c>
      <c r="B24" s="29" t="n">
        <f aca="false">SUMIFS('Order Tracker'!$I$3:$I$102,'Order Tracker'!$L$3:$L$102,$D$18,'Order Tracker'!$M$3:$M$102,5)</f>
        <v>0</v>
      </c>
    </row>
    <row r="25" customFormat="false" ht="15" hidden="false" customHeight="false" outlineLevel="0" collapsed="false">
      <c r="A25" s="9" t="s">
        <v>101</v>
      </c>
      <c r="B25" s="29" t="n">
        <f aca="false">SUMIFS('Order Tracker'!$I$3:$I$102,'Order Tracker'!$L$3:$L$102,$D$18,'Order Tracker'!$M$3:$M$102,6)</f>
        <v>0</v>
      </c>
    </row>
    <row r="26" customFormat="false" ht="15" hidden="false" customHeight="false" outlineLevel="0" collapsed="false">
      <c r="A26" s="9" t="s">
        <v>102</v>
      </c>
      <c r="B26" s="29" t="n">
        <f aca="false">SUMIFS('Order Tracker'!$I$3:$I$102,'Order Tracker'!$L$3:$L$102,$D$18,'Order Tracker'!$M$3:$M$102,7)</f>
        <v>0</v>
      </c>
    </row>
    <row r="27" customFormat="false" ht="15" hidden="false" customHeight="false" outlineLevel="0" collapsed="false">
      <c r="A27" s="9" t="s">
        <v>103</v>
      </c>
      <c r="B27" s="29" t="n">
        <f aca="false">SUMIFS('Order Tracker'!$I$3:$I$102,'Order Tracker'!$L$3:$L$102,$D$18,'Order Tracker'!$M$3:$M$102,8)</f>
        <v>0</v>
      </c>
    </row>
    <row r="28" customFormat="false" ht="15" hidden="false" customHeight="false" outlineLevel="0" collapsed="false">
      <c r="A28" s="9" t="s">
        <v>104</v>
      </c>
      <c r="B28" s="29" t="n">
        <f aca="false">SUMIFS('Order Tracker'!$I$3:$I$102,'Order Tracker'!$L$3:$L$102,$D$18,'Order Tracker'!$M$3:$M$102,9)</f>
        <v>0</v>
      </c>
    </row>
    <row r="29" customFormat="false" ht="15" hidden="false" customHeight="false" outlineLevel="0" collapsed="false">
      <c r="A29" s="9" t="s">
        <v>105</v>
      </c>
      <c r="B29" s="29" t="n">
        <f aca="false">SUMIFS('Order Tracker'!$I$3:$I$102,'Order Tracker'!$L$3:$L$102,$D$18,'Order Tracker'!$M$3:$M$102,10)</f>
        <v>0</v>
      </c>
    </row>
    <row r="30" customFormat="false" ht="15" hidden="false" customHeight="false" outlineLevel="0" collapsed="false">
      <c r="A30" s="9" t="s">
        <v>106</v>
      </c>
      <c r="B30" s="29" t="n">
        <f aca="false">SUMIFS('Order Tracker'!$I$3:$I$102,'Order Tracker'!$L$3:$L$102,$D$18,'Order Tracker'!$M$3:$M$102,11)</f>
        <v>0</v>
      </c>
    </row>
    <row r="31" customFormat="false" ht="15" hidden="false" customHeight="false" outlineLevel="0" collapsed="false">
      <c r="A31" s="9" t="s">
        <v>107</v>
      </c>
      <c r="B31" s="29" t="n">
        <f aca="false">SUMIFS('Order Tracker'!$I$3:$I$102,'Order Tracker'!$L$3:$L$102,$D$18,'Order Tracker'!$M$3:$M$102,12)</f>
        <v>0</v>
      </c>
    </row>
    <row r="34" customFormat="false" ht="15" hidden="false" customHeight="false" outlineLevel="0" collapsed="false">
      <c r="A34" s="6" t="s">
        <v>108</v>
      </c>
    </row>
    <row r="35" customFormat="false" ht="15" hidden="false" customHeight="false" outlineLevel="0" collapsed="false">
      <c r="A35" s="27" t="s">
        <v>109</v>
      </c>
      <c r="B35" s="27" t="s">
        <v>68</v>
      </c>
      <c r="C35" s="27" t="s">
        <v>95</v>
      </c>
    </row>
    <row r="36" customFormat="false" ht="15" hidden="false" customHeight="false" outlineLevel="0" collapsed="false">
      <c r="A36" s="9" t="n">
        <v>1</v>
      </c>
      <c r="B36" s="9" t="str">
        <f aca="false">IFERROR(INDEX('Inventory Tracker'!$B$3:$B$52,MATCH(1,'Inventory Tracker'!$M$3:$M$52,0)),"")</f>
        <v/>
      </c>
      <c r="C36" s="29" t="str">
        <f aca="false">IFERROR(INDEX('Inventory Tracker'!$L$3:$L$52,MATCH(1,'Inventory Tracker'!$M$3:$M$52,0)),"")</f>
        <v/>
      </c>
    </row>
    <row r="37" customFormat="false" ht="15" hidden="false" customHeight="false" outlineLevel="0" collapsed="false">
      <c r="A37" s="9" t="n">
        <v>2</v>
      </c>
      <c r="B37" s="9" t="str">
        <f aca="false">IFERROR(INDEX('Inventory Tracker'!$B$3:$B$52,MATCH(2,'Inventory Tracker'!$M$3:$M$52,0)),"")</f>
        <v/>
      </c>
      <c r="C37" s="29" t="str">
        <f aca="false">IFERROR(INDEX('Inventory Tracker'!$L$3:$L$52,MATCH(2,'Inventory Tracker'!$M$3:$M$52,0)),"")</f>
        <v/>
      </c>
    </row>
    <row r="38" customFormat="false" ht="15" hidden="false" customHeight="false" outlineLevel="0" collapsed="false">
      <c r="A38" s="9" t="n">
        <v>3</v>
      </c>
      <c r="B38" s="9" t="str">
        <f aca="false">IFERROR(INDEX('Inventory Tracker'!$B$3:$B$52,MATCH(3,'Inventory Tracker'!$M$3:$M$52,0)),"")</f>
        <v/>
      </c>
      <c r="C38" s="29" t="str">
        <f aca="false">IFERROR(INDEX('Inventory Tracker'!$L$3:$L$52,MATCH(3,'Inventory Tracker'!$M$3:$M$52,0)),"")</f>
        <v/>
      </c>
    </row>
    <row r="39" customFormat="false" ht="15" hidden="false" customHeight="false" outlineLevel="0" collapsed="false">
      <c r="A39" s="9" t="n">
        <v>4</v>
      </c>
      <c r="B39" s="9" t="str">
        <f aca="false">IFERROR(INDEX('Inventory Tracker'!$B$3:$B$52,MATCH(4,'Inventory Tracker'!$M$3:$M$52,0)),"")</f>
        <v/>
      </c>
      <c r="C39" s="29" t="str">
        <f aca="false">IFERROR(INDEX('Inventory Tracker'!$L$3:$L$52,MATCH(4,'Inventory Tracker'!$M$3:$M$52,0)),"")</f>
        <v/>
      </c>
    </row>
    <row r="40" customFormat="false" ht="15" hidden="false" customHeight="false" outlineLevel="0" collapsed="false">
      <c r="A40" s="9" t="n">
        <v>5</v>
      </c>
      <c r="B40" s="9" t="str">
        <f aca="false">IFERROR(INDEX('Inventory Tracker'!$B$3:$B$52,MATCH(5,'Inventory Tracker'!$M$3:$M$52,0)),"")</f>
        <v/>
      </c>
      <c r="C40" s="29" t="str">
        <f aca="false">IFERROR(INDEX('Inventory Tracker'!$L$3:$L$52,MATCH(5,'Inventory Tracker'!$M$3:$M$52,0)),"")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18"/>
  </cols>
  <sheetData>
    <row r="1" customFormat="false" ht="30" hidden="false" customHeight="true" outlineLevel="0" collapsed="false">
      <c r="A1" s="21" t="s">
        <v>110</v>
      </c>
      <c r="B1" s="21"/>
      <c r="C1" s="21"/>
      <c r="D1" s="21"/>
      <c r="E1" s="21"/>
      <c r="F1" s="21"/>
      <c r="G1" s="21"/>
      <c r="H1" s="21"/>
    </row>
    <row r="2" customFormat="false" ht="21.75" hidden="false" customHeight="true" outlineLevel="0" collapsed="false">
      <c r="A2" s="22" t="s">
        <v>88</v>
      </c>
      <c r="B2" s="22"/>
      <c r="C2" s="22"/>
      <c r="D2" s="22"/>
      <c r="E2" s="22"/>
      <c r="F2" s="22"/>
      <c r="G2" s="22"/>
      <c r="H2" s="22"/>
    </row>
    <row r="5" customFormat="false" ht="24" hidden="false" customHeight="true" outlineLevel="0" collapsed="false">
      <c r="A5" s="23" t="s">
        <v>90</v>
      </c>
      <c r="B5" s="23" t="s">
        <v>111</v>
      </c>
      <c r="C5" s="23" t="s">
        <v>112</v>
      </c>
      <c r="D5" s="23" t="s">
        <v>113</v>
      </c>
      <c r="E5" s="24"/>
      <c r="F5" s="24"/>
      <c r="G5" s="24"/>
      <c r="H5" s="24"/>
    </row>
    <row r="6" customFormat="false" ht="30" hidden="false" customHeight="true" outlineLevel="0" collapsed="false">
      <c r="A6" s="25" t="n">
        <f aca="false">COUNTA('Customer Tracker'!$B$3:$B$52)</f>
        <v>0</v>
      </c>
      <c r="B6" s="25" t="n">
        <f aca="false">COUNTIFS('Customer Tracker'!$F$3:$F$52,"&gt;1")</f>
        <v>0</v>
      </c>
      <c r="C6" s="30" t="n">
        <f aca="false">IFERROR(B6/A6,0)</f>
        <v>0</v>
      </c>
      <c r="D6" s="26" t="n">
        <f aca="false">IFERROR(AVERAGE('Customer Tracker'!$G$3:$G$52),0)</f>
        <v>0</v>
      </c>
      <c r="E6" s="24"/>
      <c r="F6" s="24"/>
      <c r="G6" s="24"/>
      <c r="H6" s="24"/>
    </row>
    <row r="9" customFormat="false" ht="15" hidden="false" customHeight="false" outlineLevel="0" collapsed="false">
      <c r="A9" s="6" t="s">
        <v>114</v>
      </c>
    </row>
    <row r="10" customFormat="false" ht="15" hidden="false" customHeight="false" outlineLevel="0" collapsed="false">
      <c r="A10" s="27" t="s">
        <v>109</v>
      </c>
      <c r="B10" s="27" t="s">
        <v>67</v>
      </c>
      <c r="C10" s="27" t="s">
        <v>115</v>
      </c>
      <c r="D10" s="27" t="s">
        <v>42</v>
      </c>
    </row>
    <row r="11" customFormat="false" ht="15" hidden="false" customHeight="false" outlineLevel="0" collapsed="false">
      <c r="A11" s="9" t="n">
        <v>1</v>
      </c>
      <c r="B11" s="9" t="str">
        <f aca="false">IFERROR(INDEX('Customer Tracker'!$B$3:$B$52,MATCH(1,'Customer Tracker'!$K$3:$K$52,0)),"")</f>
        <v/>
      </c>
      <c r="C11" s="29" t="str">
        <f aca="false">IFERROR(INDEX('Customer Tracker'!$G$3:$G$52,MATCH(1,'Customer Tracker'!$K$3:$K$52,0)),"")</f>
        <v/>
      </c>
      <c r="D11" s="9" t="str">
        <f aca="false">IFERROR(INDEX('Customer Tracker'!$F$3:$F$52,MATCH(1,'Customer Tracker'!$K$3:$K$52,0)),"")</f>
        <v/>
      </c>
    </row>
    <row r="12" customFormat="false" ht="15" hidden="false" customHeight="false" outlineLevel="0" collapsed="false">
      <c r="A12" s="9" t="n">
        <v>2</v>
      </c>
      <c r="B12" s="9" t="str">
        <f aca="false">IFERROR(INDEX('Customer Tracker'!$B$3:$B$52,MATCH(2,'Customer Tracker'!$K$3:$K$52,0)),"")</f>
        <v/>
      </c>
      <c r="C12" s="29" t="str">
        <f aca="false">IFERROR(INDEX('Customer Tracker'!$G$3:$G$52,MATCH(2,'Customer Tracker'!$K$3:$K$52,0)),"")</f>
        <v/>
      </c>
      <c r="D12" s="9" t="str">
        <f aca="false">IFERROR(INDEX('Customer Tracker'!$F$3:$F$52,MATCH(2,'Customer Tracker'!$K$3:$K$52,0)),"")</f>
        <v/>
      </c>
    </row>
    <row r="13" customFormat="false" ht="15" hidden="false" customHeight="false" outlineLevel="0" collapsed="false">
      <c r="A13" s="9" t="n">
        <v>3</v>
      </c>
      <c r="B13" s="9" t="str">
        <f aca="false">IFERROR(INDEX('Customer Tracker'!$B$3:$B$52,MATCH(3,'Customer Tracker'!$K$3:$K$52,0)),"")</f>
        <v/>
      </c>
      <c r="C13" s="29" t="str">
        <f aca="false">IFERROR(INDEX('Customer Tracker'!$G$3:$G$52,MATCH(3,'Customer Tracker'!$K$3:$K$52,0)),"")</f>
        <v/>
      </c>
      <c r="D13" s="9" t="str">
        <f aca="false">IFERROR(INDEX('Customer Tracker'!$F$3:$F$52,MATCH(3,'Customer Tracker'!$K$3:$K$52,0)),"")</f>
        <v/>
      </c>
    </row>
    <row r="14" customFormat="false" ht="15" hidden="false" customHeight="false" outlineLevel="0" collapsed="false">
      <c r="A14" s="9" t="n">
        <v>4</v>
      </c>
      <c r="B14" s="9" t="str">
        <f aca="false">IFERROR(INDEX('Customer Tracker'!$B$3:$B$52,MATCH(4,'Customer Tracker'!$K$3:$K$52,0)),"")</f>
        <v/>
      </c>
      <c r="C14" s="29" t="str">
        <f aca="false">IFERROR(INDEX('Customer Tracker'!$G$3:$G$52,MATCH(4,'Customer Tracker'!$K$3:$K$52,0)),"")</f>
        <v/>
      </c>
      <c r="D14" s="9" t="str">
        <f aca="false">IFERROR(INDEX('Customer Tracker'!$F$3:$F$52,MATCH(4,'Customer Tracker'!$K$3:$K$52,0)),"")</f>
        <v/>
      </c>
    </row>
    <row r="15" customFormat="false" ht="15" hidden="false" customHeight="false" outlineLevel="0" collapsed="false">
      <c r="A15" s="9" t="n">
        <v>5</v>
      </c>
      <c r="B15" s="9" t="str">
        <f aca="false">IFERROR(INDEX('Customer Tracker'!$B$3:$B$52,MATCH(5,'Customer Tracker'!$K$3:$K$52,0)),"")</f>
        <v/>
      </c>
      <c r="C15" s="29" t="str">
        <f aca="false">IFERROR(INDEX('Customer Tracker'!$G$3:$G$52,MATCH(5,'Customer Tracker'!$K$3:$K$52,0)),"")</f>
        <v/>
      </c>
      <c r="D15" s="9" t="str">
        <f aca="false">IFERROR(INDEX('Customer Tracker'!$F$3:$F$52,MATCH(5,'Customer Tracker'!$K$3:$K$52,0)),"")</f>
        <v/>
      </c>
    </row>
    <row r="16" customFormat="false" ht="15" hidden="false" customHeight="false" outlineLevel="0" collapsed="false">
      <c r="A16" s="9" t="n">
        <v>6</v>
      </c>
      <c r="B16" s="9" t="str">
        <f aca="false">IFERROR(INDEX('Customer Tracker'!$B$3:$B$52,MATCH(6,'Customer Tracker'!$K$3:$K$52,0)),"")</f>
        <v/>
      </c>
      <c r="C16" s="29" t="str">
        <f aca="false">IFERROR(INDEX('Customer Tracker'!$G$3:$G$52,MATCH(6,'Customer Tracker'!$K$3:$K$52,0)),"")</f>
        <v/>
      </c>
      <c r="D16" s="9" t="str">
        <f aca="false">IFERROR(INDEX('Customer Tracker'!$F$3:$F$52,MATCH(6,'Customer Tracker'!$K$3:$K$52,0)),"")</f>
        <v/>
      </c>
    </row>
    <row r="17" customFormat="false" ht="15" hidden="false" customHeight="false" outlineLevel="0" collapsed="false">
      <c r="A17" s="9" t="n">
        <v>7</v>
      </c>
      <c r="B17" s="9" t="str">
        <f aca="false">IFERROR(INDEX('Customer Tracker'!$B$3:$B$52,MATCH(7,'Customer Tracker'!$K$3:$K$52,0)),"")</f>
        <v/>
      </c>
      <c r="C17" s="29" t="str">
        <f aca="false">IFERROR(INDEX('Customer Tracker'!$G$3:$G$52,MATCH(7,'Customer Tracker'!$K$3:$K$52,0)),"")</f>
        <v/>
      </c>
      <c r="D17" s="9" t="str">
        <f aca="false">IFERROR(INDEX('Customer Tracker'!$F$3:$F$52,MATCH(7,'Customer Tracker'!$K$3:$K$52,0)),"")</f>
        <v/>
      </c>
    </row>
    <row r="18" customFormat="false" ht="15" hidden="false" customHeight="false" outlineLevel="0" collapsed="false">
      <c r="A18" s="9" t="n">
        <v>8</v>
      </c>
      <c r="B18" s="9" t="str">
        <f aca="false">IFERROR(INDEX('Customer Tracker'!$B$3:$B$52,MATCH(8,'Customer Tracker'!$K$3:$K$52,0)),"")</f>
        <v/>
      </c>
      <c r="C18" s="29" t="str">
        <f aca="false">IFERROR(INDEX('Customer Tracker'!$G$3:$G$52,MATCH(8,'Customer Tracker'!$K$3:$K$52,0)),"")</f>
        <v/>
      </c>
      <c r="D18" s="9" t="str">
        <f aca="false">IFERROR(INDEX('Customer Tracker'!$F$3:$F$52,MATCH(8,'Customer Tracker'!$K$3:$K$52,0)),"")</f>
        <v/>
      </c>
    </row>
    <row r="19" customFormat="false" ht="15" hidden="false" customHeight="false" outlineLevel="0" collapsed="false">
      <c r="A19" s="9" t="n">
        <v>9</v>
      </c>
      <c r="B19" s="9" t="str">
        <f aca="false">IFERROR(INDEX('Customer Tracker'!$B$3:$B$52,MATCH(9,'Customer Tracker'!$K$3:$K$52,0)),"")</f>
        <v/>
      </c>
      <c r="C19" s="29" t="str">
        <f aca="false">IFERROR(INDEX('Customer Tracker'!$G$3:$G$52,MATCH(9,'Customer Tracker'!$K$3:$K$52,0)),"")</f>
        <v/>
      </c>
      <c r="D19" s="9" t="str">
        <f aca="false">IFERROR(INDEX('Customer Tracker'!$F$3:$F$52,MATCH(9,'Customer Tracker'!$K$3:$K$52,0)),"")</f>
        <v/>
      </c>
    </row>
    <row r="20" customFormat="false" ht="15" hidden="false" customHeight="false" outlineLevel="0" collapsed="false">
      <c r="A20" s="9" t="n">
        <v>10</v>
      </c>
      <c r="B20" s="9" t="str">
        <f aca="false">IFERROR(INDEX('Customer Tracker'!$B$3:$B$52,MATCH(10,'Customer Tracker'!$K$3:$K$52,0)),"")</f>
        <v/>
      </c>
      <c r="C20" s="29" t="str">
        <f aca="false">IFERROR(INDEX('Customer Tracker'!$G$3:$G$52,MATCH(10,'Customer Tracker'!$K$3:$K$52,0)),"")</f>
        <v/>
      </c>
      <c r="D20" s="9" t="str">
        <f aca="false">IFERROR(INDEX('Customer Tracker'!$F$3:$F$52,MATCH(10,'Customer Tracker'!$K$3:$K$52,0)),"")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0" t="s">
        <v>117</v>
      </c>
      <c r="B3" s="10" t="s">
        <v>118</v>
      </c>
    </row>
    <row r="4" customFormat="false" ht="25.5" hidden="false" customHeight="true" outlineLevel="0" collapsed="false">
      <c r="A4" s="9" t="s">
        <v>119</v>
      </c>
      <c r="B4" s="31" t="s">
        <v>120</v>
      </c>
    </row>
    <row r="5" customFormat="false" ht="25.5" hidden="false" customHeight="true" outlineLevel="0" collapsed="false">
      <c r="A5" s="9" t="s">
        <v>121</v>
      </c>
      <c r="B5" s="31" t="s">
        <v>122</v>
      </c>
    </row>
    <row r="6" customFormat="false" ht="25.5" hidden="false" customHeight="true" outlineLevel="0" collapsed="false">
      <c r="A6" s="9" t="s">
        <v>123</v>
      </c>
      <c r="B6" s="31" t="s">
        <v>124</v>
      </c>
    </row>
    <row r="7" customFormat="false" ht="25.5" hidden="false" customHeight="true" outlineLevel="0" collapsed="false">
      <c r="A7" s="9" t="s">
        <v>125</v>
      </c>
      <c r="B7" s="31" t="s">
        <v>126</v>
      </c>
    </row>
    <row r="8" customFormat="false" ht="25.5" hidden="false" customHeight="true" outlineLevel="0" collapsed="false">
      <c r="A8" s="9" t="s">
        <v>127</v>
      </c>
      <c r="B8" s="31" t="s">
        <v>128</v>
      </c>
    </row>
    <row r="9" customFormat="false" ht="25.5" hidden="false" customHeight="true" outlineLevel="0" collapsed="false">
      <c r="A9" s="9" t="s">
        <v>129</v>
      </c>
      <c r="B9" s="31" t="s">
        <v>130</v>
      </c>
    </row>
    <row r="11" customFormat="false" ht="15" hidden="false" customHeight="false" outlineLevel="0" collapsed="false">
      <c r="A11" s="3" t="s">
        <v>9</v>
      </c>
      <c r="B11" s="3"/>
    </row>
  </sheetData>
  <mergeCells count="2">
    <mergeCell ref="A1:H1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2026-08-16T03:21:46Z</dcterms:created>
  <dc:creator>openpyxl</dc:creator>
  <dc:description/>
  <dc:language>en-US</dc:language>
  <cp:lastModifiedBy/>
  <dcterms:modified xsi:type="dcterms:W3CDTF">2026-08-16T03:22:06Z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