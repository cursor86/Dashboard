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Members" sheetId="3" state="visible" r:id="rId5"/>
    <sheet name="Payments" sheetId="4" state="visible" r:id="rId6"/>
    <sheet name="Dashboard" sheetId="5" state="visible" r:id="rId7"/>
    <sheet name="Notes &amp; Leg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<sst xmlns="http://schemas.openxmlformats.org/spreadsheetml/2006/main" count="87" uniqueCount="77">
  <si>
    <t xml:space="preserve">How to Use This Gym &amp; Studio Membership Tracker</t>
  </si>
  <si>
    <t xml:space="preserve">1. Open 'Setup' first. Confirm your plan types and monthly price per plan, and list your trainers.</t>
  </si>
  <si>
    <t xml:space="preserve">2. Add every member in 'Members' — Plan, Trainer, Start Date, and Status. Members expiring within 7 days highlight automatically so you know who to follow up with.</t>
  </si>
  <si>
    <t xml:space="preserve">3. Log every payment in 'Payments' — Member, Date, Amount, and Method. This drives the revenue figures on the Dashboard.</t>
  </si>
  <si>
    <t xml:space="preserve">4. Change the Year/Month selector at the top of 'Dashboard' to see that period's KPIs and charts update automatically.</t>
  </si>
  <si>
    <t xml:space="preserve">5. Only edit yellow (input) or white cells. Green-header and formula cells update automatically — do not overwrite them.</t>
  </si>
  <si>
    <t xml:space="preserve">6. To log more members or payments than the pre-formatted rows, select the last formatted row and copy it downward; formulas will carry over.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</si>
  <si>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</si>
  <si>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</si>
  <si>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</si>
  <si>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Plan Type</t>
  </si>
  <si>
    <t xml:space="preserve">Monthly Price ({{CURRENCY}})</t>
  </si>
  <si>
    <t xml:space="preserve">Trainers</t>
  </si>
  <si>
    <t xml:space="preserve">Monthly</t>
  </si>
  <si>
    <t xml:space="preserve">Trainer A</t>
  </si>
  <si>
    <t xml:space="preserve">Quarterly</t>
  </si>
  <si>
    <t xml:space="preserve">Trainer B</t>
  </si>
  <si>
    <t xml:space="preserve">Annual</t>
  </si>
  <si>
    <t xml:space="preserve">Trainer C</t>
  </si>
  <si>
    <t xml:space="preserve">Day Pass</t>
  </si>
  <si>
    <t xml:space="preserve">Unassigned</t>
  </si>
  <si>
    <t xml:space="preserve">Class Pack</t>
  </si>
  <si>
    <t xml:space="preserve">{{CLIENT_NAME}} — Members</t>
  </si>
  <si>
    <t xml:space="preserve">Member ID</t>
  </si>
  <si>
    <t xml:space="preserve">Name</t>
  </si>
  <si>
    <t xml:space="preserve">Contact</t>
  </si>
  <si>
    <t xml:space="preserve">Plan</t>
  </si>
  <si>
    <t xml:space="preserve">Trainer</t>
  </si>
  <si>
    <t xml:space="preserve">Start Date</t>
  </si>
  <si>
    <t xml:space="preserve">Status</t>
  </si>
  <si>
    <t xml:space="preserve">Expiry Date</t>
  </si>
  <si>
    <t xml:space="preserve">Days Until Expiry</t>
  </si>
  <si>
    <t xml:space="preserve">Monthly Value ({{CURRENCY}})</t>
  </si>
  <si>
    <t xml:space="preserve">{{CLIENT_NAME}} — Payments</t>
  </si>
  <si>
    <t xml:space="preserve">Date</t>
  </si>
  <si>
    <t xml:space="preserve">Member</t>
  </si>
  <si>
    <t xml:space="preserve">Amount ({{CURRENCY}})</t>
  </si>
  <si>
    <t xml:space="preserve">Payment Method</t>
  </si>
  <si>
    <t xml:space="preserve">Year</t>
  </si>
  <si>
    <t xml:space="preserve">Month</t>
  </si>
  <si>
    <t xml:space="preserve">{{CLIENT_NAME}} — Dashboard</t>
  </si>
  <si>
    <t xml:space="preserve">{{NICHE}} — figures in {{CURRENCY}}</t>
  </si>
  <si>
    <t xml:space="preserve">Active Members</t>
  </si>
  <si>
    <t xml:space="preserve">Revenue — Selected Month ({{CURRENCY}})</t>
  </si>
  <si>
    <t xml:space="preserve">Avg Revenue / Active Member ({{CURRENCY}})</t>
  </si>
  <si>
    <t xml:space="preserve">Expiring Within 7 Days</t>
  </si>
  <si>
    <t xml:space="preserve">Active Members by Plan</t>
  </si>
  <si>
    <t xml:space="preserve">Members</t>
  </si>
  <si>
    <t xml:space="preserve">Revenue by Month — Selected Year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</si>
  <si>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</si>
  <si>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</si>
  <si>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</si>
  <si>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</si>
  <si>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</si>
  <si>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</si>
  <si>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</si>
  <si>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</si>
  <si>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</si>
  <si>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</si>
  <si>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</si>
  <si>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</si>
  <si>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</si>
  <si>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 &amp; Legend</t>
  </si>
  <si>
    <t xml:space="preserve">Color / Style</t>
  </si>
  <si>
    <t xml:space="preserve">Meaning</t>
  </si>
  <si>
    <t xml:space="preserve">Yellow cells</t>
  </si>
  <si>
    <t xml:space="preserve">Input cells — change these (Year, Month, Plan Prices).</t>
  </si>
  <si>
    <t xml:space="preserve">White cells with borders</t>
  </si>
  <si>
    <t xml:space="preserve">Data entry rows in Members and Payments.</t>
  </si>
  <si>
    <t xml:space="preserve">Green header cells</t>
  </si>
  <si>
    <t xml:space="preserve">Column headers — do not edit.</t>
  </si>
  <si>
    <t xml:space="preserve">Black formula cells</t>
  </si>
  <si>
    <t xml:space="preserve">Calculated automatically — do not overwrite (Expiry Date, Days Until Expiry, etc.).</t>
  </si>
  <si>
    <t xml:space="preserve">Light orange rows (Members)</t>
  </si>
  <si>
    <t xml:space="preserve">Active members expiring within 7 days — follow up for renewal.</t>
  </si>
  <si>
    <t xml:space="preserve">Light red rows (Members)</t>
  </si>
  <si>
    <t xml:space="preserve">Active members already past their expiry 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</si>
</sst>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mm/dd/yyyy"/>
    <numFmt numFmtId="167" formatCode="General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2"/>
      <color rgb="FFC9DFC2"/>
      <name val="Arial"/>
      <family val="0"/>
      <charset val="1"/>
    </font>
    <font>
      <b val="true"/>
      <sz val="9"/>
      <color rgb="FF1F3B21"/>
      <name val="Arial"/>
      <family val="0"/>
      <charset val="1"/>
    </font>
    <font>
      <b val="true"/>
      <sz val="16"/>
      <color rgb="FF1F3B2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1F3B21"/>
      </patternFill>
    </fill>
    <fill>
      <patternFill patternType="solid">
        <fgColor rgb="FFFFFDE7"/>
        <bgColor rgb="FFFFFFFF"/>
      </patternFill>
    </fill>
    <fill>
      <patternFill patternType="solid">
        <fgColor rgb="FFDCEAD5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C7A47"/>
      </left>
      <right/>
      <top style="thin">
        <color rgb="FF4C7A47"/>
      </top>
      <bottom style="thin">
        <color rgb="FF4C7A47"/>
      </bottom>
      <diagonal/>
    </border>
    <border diagonalUp="false" diagonalDown="false">
      <left/>
      <right/>
      <top style="thin">
        <color rgb="FF4C7A47"/>
      </top>
      <bottom style="thin">
        <color rgb="FF4C7A47"/>
      </bottom>
      <diagonal/>
    </border>
    <border diagonalUp="false" diagonalDown="false">
      <left/>
      <right style="thin">
        <color rgb="FF4C7A47"/>
      </right>
      <top style="thin">
        <color rgb="FF4C7A47"/>
      </top>
      <bottom style="thin">
        <color rgb="FF4C7A47"/>
      </bottom>
      <diagonal/>
    </border>
    <border diagonalUp="false" diagonalDown="false">
      <left/>
      <right/>
      <top/>
      <bottom style="thin">
        <color rgb="FF2F52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BD0"/>
        </patternFill>
      </fill>
    </dxf>
    <dxf>
      <fill>
        <patternFill>
          <bgColor rgb="FFFD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DE7"/>
      <rgbColor rgb="FFFD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DFC2"/>
      <rgbColor rgb="FFDCEAD5"/>
      <rgbColor rgb="FFFDEBD0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888888"/>
      <rgbColor rgb="FF003366"/>
      <rgbColor rgb="FF4C7A47"/>
      <rgbColor rgb="FF003300"/>
      <rgbColor rgb="FF2F5233"/>
      <rgbColor rgb="FF993300"/>
      <rgbColor rgb="FF993366"/>
      <rgbColor rgb="FF555555"/>
      <rgbColor rgb="FF1F3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Members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Dashboard!$A$11:$A$15</c:f>
              <c:strCache>
                <c:ptCount val="5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  <c:pt idx="3">
                  <c:v>Day Pass</c:v>
                </c:pt>
                <c:pt idx="4">
                  <c:v>Class Pack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Dashboard!$B$22:$B$33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6017222"/>
        <c:axId val="40972019"/>
      </c:barChart>
      <c:catAx>
        <c:axId val="66017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72019"/>
        <c:crosses val="autoZero"/>
        <c:auto val="1"/>
        <c:lblAlgn val="ctr"/>
        <c:lblOffset val="100"/>
        <c:noMultiLvlLbl val="0"/>
      </c:catAx>
      <c:valAx>
        <c:axId val="40972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17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6</xdr:col>
      <xdr:colOff>481680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4444920" y="210492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9</xdr:col>
      <xdr:colOff>365400</xdr:colOff>
      <xdr:row>33</xdr:row>
      <xdr:rowOff>32760</xdr:rowOff>
    </xdr:to>
    <xdr:graphicFrame>
      <xdr:nvGraphicFramePr>
        <xdr:cNvPr id="1" name="Chart 2"/>
        <xdr:cNvGraphicFramePr/>
      </xdr:nvGraphicFramePr>
      <xdr:xfrm>
        <a:off x="4444920" y="42004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</row>
  </sheetData>
  <mergeCells count="8">
    <mergeCell ref="A1:H1"/>
    <mergeCell ref="A4:H4"/>
    <mergeCell ref="A5:H5"/>
    <mergeCell ref="A6:H6"/>
    <mergeCell ref="A7:H7"/>
    <mergeCell ref="A8:H8"/>
    <mergeCell ref="A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9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10</v>
      </c>
      <c r="B3" s="5" t="s">
        <v>11</v>
      </c>
      <c r="D3" s="6" t="s">
        <v>12</v>
      </c>
    </row>
    <row r="4" customFormat="false" ht="15" hidden="false" customHeight="false" outlineLevel="0" collapsed="false">
      <c r="A4" s="7" t="s">
        <v>13</v>
      </c>
      <c r="B4" s="8" t="n">
        <v>49</v>
      </c>
      <c r="D4" s="7" t="s">
        <v>14</v>
      </c>
    </row>
    <row r="5" customFormat="false" ht="15" hidden="false" customHeight="false" outlineLevel="0" collapsed="false">
      <c r="A5" s="7" t="s">
        <v>15</v>
      </c>
      <c r="B5" s="8" t="n">
        <v>129</v>
      </c>
      <c r="D5" s="7" t="s">
        <v>16</v>
      </c>
    </row>
    <row r="6" customFormat="false" ht="15" hidden="false" customHeight="false" outlineLevel="0" collapsed="false">
      <c r="A6" s="7" t="s">
        <v>17</v>
      </c>
      <c r="B6" s="8" t="n">
        <v>449</v>
      </c>
      <c r="D6" s="7" t="s">
        <v>18</v>
      </c>
    </row>
    <row r="7" customFormat="false" ht="15" hidden="false" customHeight="false" outlineLevel="0" collapsed="false">
      <c r="A7" s="7" t="s">
        <v>19</v>
      </c>
      <c r="B7" s="8" t="n">
        <v>15</v>
      </c>
      <c r="D7" s="7" t="s">
        <v>20</v>
      </c>
    </row>
    <row r="8" customFormat="false" ht="15" hidden="false" customHeight="false" outlineLevel="0" collapsed="false">
      <c r="A8" s="7" t="s">
        <v>21</v>
      </c>
      <c r="B8" s="8" t="n">
        <v>99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6.1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</row>
    <row r="3" customFormat="false" ht="15" hidden="false" customHeight="false" outlineLevel="0" collapsed="false">
      <c r="A3" s="10" t="str">
        <f aca="false">IF(B3="","",ROW()-3+1)</f>
        <v/>
      </c>
      <c r="B3" s="10"/>
      <c r="C3" s="10"/>
      <c r="D3" s="10"/>
      <c r="E3" s="10"/>
      <c r="F3" s="11"/>
      <c r="G3" s="10"/>
      <c r="H3" s="11" t="str">
        <f aca="false">IF(B3="","",IF(D3="Monthly",DATE(YEAR(F3),MONTH(F3)+1,DAY(F3)),IF(D3="Quarterly",DATE(YEAR(F3),MONTH(F3)+3,DAY(F3)),IF(D3="Annual",DATE(YEAR(F3)+1,MONTH(F3),DAY(F3)),IF(D3="Day Pass",F3+1,"")))))</f>
        <v/>
      </c>
      <c r="I3" s="10" t="str">
        <f aca="true">IF(B3="","",IF(H3="","",H3-TODAY()))</f>
        <v/>
      </c>
      <c r="J3" s="12" t="str">
        <f aca="false">IF(B3="","",IFERROR(INDEX(Setup!$B$4:$B$8,MATCH(D3,Setup!$A$4:$A$8,0)),0))</f>
        <v/>
      </c>
    </row>
    <row r="4" customFormat="false" ht="15" hidden="false" customHeight="false" outlineLevel="0" collapsed="false">
      <c r="A4" s="10" t="str">
        <f aca="false">IF(B4="","",ROW()-3+1)</f>
        <v/>
      </c>
      <c r="B4" s="10"/>
      <c r="C4" s="10"/>
      <c r="D4" s="10"/>
      <c r="E4" s="10"/>
      <c r="F4" s="11"/>
      <c r="G4" s="10"/>
      <c r="H4" s="11" t="str">
        <f aca="false">IF(B4="","",IF(D4="Monthly",DATE(YEAR(F4),MONTH(F4)+1,DAY(F4)),IF(D4="Quarterly",DATE(YEAR(F4),MONTH(F4)+3,DAY(F4)),IF(D4="Annual",DATE(YEAR(F4)+1,MONTH(F4),DAY(F4)),IF(D4="Day Pass",F4+1,"")))))</f>
        <v/>
      </c>
      <c r="I4" s="10" t="str">
        <f aca="true">IF(B4="","",IF(H4="","",H4-TODAY()))</f>
        <v/>
      </c>
      <c r="J4" s="12" t="str">
        <f aca="false">IF(B4="","",IFERROR(INDEX(Setup!$B$4:$B$8,MATCH(D4,Setup!$A$4:$A$8,0)),0))</f>
        <v/>
      </c>
    </row>
    <row r="5" customFormat="false" ht="15" hidden="false" customHeight="false" outlineLevel="0" collapsed="false">
      <c r="A5" s="10" t="str">
        <f aca="false">IF(B5="","",ROW()-3+1)</f>
        <v/>
      </c>
      <c r="B5" s="10"/>
      <c r="C5" s="10"/>
      <c r="D5" s="10"/>
      <c r="E5" s="10"/>
      <c r="F5" s="11"/>
      <c r="G5" s="10"/>
      <c r="H5" s="11" t="str">
        <f aca="false">IF(B5="","",IF(D5="Monthly",DATE(YEAR(F5),MONTH(F5)+1,DAY(F5)),IF(D5="Quarterly",DATE(YEAR(F5),MONTH(F5)+3,DAY(F5)),IF(D5="Annual",DATE(YEAR(F5)+1,MONTH(F5),DAY(F5)),IF(D5="Day Pass",F5+1,"")))))</f>
        <v/>
      </c>
      <c r="I5" s="10" t="str">
        <f aca="true">IF(B5="","",IF(H5="","",H5-TODAY()))</f>
        <v/>
      </c>
      <c r="J5" s="12" t="str">
        <f aca="false">IF(B5="","",IFERROR(INDEX(Setup!$B$4:$B$8,MATCH(D5,Setup!$A$4:$A$8,0)),0))</f>
        <v/>
      </c>
    </row>
    <row r="6" customFormat="false" ht="15" hidden="false" customHeight="false" outlineLevel="0" collapsed="false">
      <c r="A6" s="10" t="str">
        <f aca="false">IF(B6="","",ROW()-3+1)</f>
        <v/>
      </c>
      <c r="B6" s="10"/>
      <c r="C6" s="10"/>
      <c r="D6" s="10"/>
      <c r="E6" s="10"/>
      <c r="F6" s="11"/>
      <c r="G6" s="10"/>
      <c r="H6" s="11" t="str">
        <f aca="false">IF(B6="","",IF(D6="Monthly",DATE(YEAR(F6),MONTH(F6)+1,DAY(F6)),IF(D6="Quarterly",DATE(YEAR(F6),MONTH(F6)+3,DAY(F6)),IF(D6="Annual",DATE(YEAR(F6)+1,MONTH(F6),DAY(F6)),IF(D6="Day Pass",F6+1,"")))))</f>
        <v/>
      </c>
      <c r="I6" s="10" t="str">
        <f aca="true">IF(B6="","",IF(H6="","",H6-TODAY()))</f>
        <v/>
      </c>
      <c r="J6" s="12" t="str">
        <f aca="false">IF(B6="","",IFERROR(INDEX(Setup!$B$4:$B$8,MATCH(D6,Setup!$A$4:$A$8,0)),0))</f>
        <v/>
      </c>
    </row>
    <row r="7" customFormat="false" ht="15" hidden="false" customHeight="false" outlineLevel="0" collapsed="false">
      <c r="A7" s="10" t="str">
        <f aca="false">IF(B7="","",ROW()-3+1)</f>
        <v/>
      </c>
      <c r="B7" s="10"/>
      <c r="C7" s="10"/>
      <c r="D7" s="10"/>
      <c r="E7" s="10"/>
      <c r="F7" s="11"/>
      <c r="G7" s="10"/>
      <c r="H7" s="11" t="str">
        <f aca="false">IF(B7="","",IF(D7="Monthly",DATE(YEAR(F7),MONTH(F7)+1,DAY(F7)),IF(D7="Quarterly",DATE(YEAR(F7),MONTH(F7)+3,DAY(F7)),IF(D7="Annual",DATE(YEAR(F7)+1,MONTH(F7),DAY(F7)),IF(D7="Day Pass",F7+1,"")))))</f>
        <v/>
      </c>
      <c r="I7" s="10" t="str">
        <f aca="true">IF(B7="","",IF(H7="","",H7-TODAY()))</f>
        <v/>
      </c>
      <c r="J7" s="12" t="str">
        <f aca="false">IF(B7="","",IFERROR(INDEX(Setup!$B$4:$B$8,MATCH(D7,Setup!$A$4:$A$8,0)),0))</f>
        <v/>
      </c>
    </row>
    <row r="8" customFormat="false" ht="15" hidden="false" customHeight="false" outlineLevel="0" collapsed="false">
      <c r="A8" s="10" t="str">
        <f aca="false">IF(B8="","",ROW()-3+1)</f>
        <v/>
      </c>
      <c r="B8" s="10"/>
      <c r="C8" s="10"/>
      <c r="D8" s="10"/>
      <c r="E8" s="10"/>
      <c r="F8" s="11"/>
      <c r="G8" s="10"/>
      <c r="H8" s="11" t="str">
        <f aca="false">IF(B8="","",IF(D8="Monthly",DATE(YEAR(F8),MONTH(F8)+1,DAY(F8)),IF(D8="Quarterly",DATE(YEAR(F8),MONTH(F8)+3,DAY(F8)),IF(D8="Annual",DATE(YEAR(F8)+1,MONTH(F8),DAY(F8)),IF(D8="Day Pass",F8+1,"")))))</f>
        <v/>
      </c>
      <c r="I8" s="10" t="str">
        <f aca="true">IF(B8="","",IF(H8="","",H8-TODAY()))</f>
        <v/>
      </c>
      <c r="J8" s="12" t="str">
        <f aca="false">IF(B8="","",IFERROR(INDEX(Setup!$B$4:$B$8,MATCH(D8,Setup!$A$4:$A$8,0)),0))</f>
        <v/>
      </c>
    </row>
    <row r="9" customFormat="false" ht="15" hidden="false" customHeight="false" outlineLevel="0" collapsed="false">
      <c r="A9" s="10" t="str">
        <f aca="false">IF(B9="","",ROW()-3+1)</f>
        <v/>
      </c>
      <c r="B9" s="10"/>
      <c r="C9" s="10"/>
      <c r="D9" s="10"/>
      <c r="E9" s="10"/>
      <c r="F9" s="11"/>
      <c r="G9" s="10"/>
      <c r="H9" s="11" t="str">
        <f aca="false">IF(B9="","",IF(D9="Monthly",DATE(YEAR(F9),MONTH(F9)+1,DAY(F9)),IF(D9="Quarterly",DATE(YEAR(F9),MONTH(F9)+3,DAY(F9)),IF(D9="Annual",DATE(YEAR(F9)+1,MONTH(F9),DAY(F9)),IF(D9="Day Pass",F9+1,"")))))</f>
        <v/>
      </c>
      <c r="I9" s="10" t="str">
        <f aca="true">IF(B9="","",IF(H9="","",H9-TODAY()))</f>
        <v/>
      </c>
      <c r="J9" s="12" t="str">
        <f aca="false">IF(B9="","",IFERROR(INDEX(Setup!$B$4:$B$8,MATCH(D9,Setup!$A$4:$A$8,0)),0))</f>
        <v/>
      </c>
    </row>
    <row r="10" customFormat="false" ht="15" hidden="false" customHeight="false" outlineLevel="0" collapsed="false">
      <c r="A10" s="10" t="str">
        <f aca="false">IF(B10="","",ROW()-3+1)</f>
        <v/>
      </c>
      <c r="B10" s="10"/>
      <c r="C10" s="10"/>
      <c r="D10" s="10"/>
      <c r="E10" s="10"/>
      <c r="F10" s="11"/>
      <c r="G10" s="10"/>
      <c r="H10" s="11" t="str">
        <f aca="false">IF(B10="","",IF(D10="Monthly",DATE(YEAR(F10),MONTH(F10)+1,DAY(F10)),IF(D10="Quarterly",DATE(YEAR(F10),MONTH(F10)+3,DAY(F10)),IF(D10="Annual",DATE(YEAR(F10)+1,MONTH(F10),DAY(F10)),IF(D10="Day Pass",F10+1,"")))))</f>
        <v/>
      </c>
      <c r="I10" s="10" t="str">
        <f aca="true">IF(B10="","",IF(H10="","",H10-TODAY()))</f>
        <v/>
      </c>
      <c r="J10" s="12" t="str">
        <f aca="false">IF(B10="","",IFERROR(INDEX(Setup!$B$4:$B$8,MATCH(D10,Setup!$A$4:$A$8,0)),0))</f>
        <v/>
      </c>
    </row>
    <row r="11" customFormat="false" ht="15" hidden="false" customHeight="false" outlineLevel="0" collapsed="false">
      <c r="A11" s="10" t="str">
        <f aca="false">IF(B11="","",ROW()-3+1)</f>
        <v/>
      </c>
      <c r="B11" s="10"/>
      <c r="C11" s="10"/>
      <c r="D11" s="10"/>
      <c r="E11" s="10"/>
      <c r="F11" s="11"/>
      <c r="G11" s="10"/>
      <c r="H11" s="11" t="str">
        <f aca="false">IF(B11="","",IF(D11="Monthly",DATE(YEAR(F11),MONTH(F11)+1,DAY(F11)),IF(D11="Quarterly",DATE(YEAR(F11),MONTH(F11)+3,DAY(F11)),IF(D11="Annual",DATE(YEAR(F11)+1,MONTH(F11),DAY(F11)),IF(D11="Day Pass",F11+1,"")))))</f>
        <v/>
      </c>
      <c r="I11" s="10" t="str">
        <f aca="true">IF(B11="","",IF(H11="","",H11-TODAY()))</f>
        <v/>
      </c>
      <c r="J11" s="12" t="str">
        <f aca="false">IF(B11="","",IFERROR(INDEX(Setup!$B$4:$B$8,MATCH(D11,Setup!$A$4:$A$8,0)),0))</f>
        <v/>
      </c>
    </row>
    <row r="12" customFormat="false" ht="15" hidden="false" customHeight="false" outlineLevel="0" collapsed="false">
      <c r="A12" s="10" t="str">
        <f aca="false">IF(B12="","",ROW()-3+1)</f>
        <v/>
      </c>
      <c r="B12" s="10"/>
      <c r="C12" s="10"/>
      <c r="D12" s="10"/>
      <c r="E12" s="10"/>
      <c r="F12" s="11"/>
      <c r="G12" s="10"/>
      <c r="H12" s="11" t="str">
        <f aca="false">IF(B12="","",IF(D12="Monthly",DATE(YEAR(F12),MONTH(F12)+1,DAY(F12)),IF(D12="Quarterly",DATE(YEAR(F12),MONTH(F12)+3,DAY(F12)),IF(D12="Annual",DATE(YEAR(F12)+1,MONTH(F12),DAY(F12)),IF(D12="Day Pass",F12+1,"")))))</f>
        <v/>
      </c>
      <c r="I12" s="10" t="str">
        <f aca="true">IF(B12="","",IF(H12="","",H12-TODAY()))</f>
        <v/>
      </c>
      <c r="J12" s="12" t="str">
        <f aca="false">IF(B12="","",IFERROR(INDEX(Setup!$B$4:$B$8,MATCH(D12,Setup!$A$4:$A$8,0)),0))</f>
        <v/>
      </c>
    </row>
    <row r="13" customFormat="false" ht="15" hidden="false" customHeight="false" outlineLevel="0" collapsed="false">
      <c r="A13" s="10" t="str">
        <f aca="false">IF(B13="","",ROW()-3+1)</f>
        <v/>
      </c>
      <c r="B13" s="10"/>
      <c r="C13" s="10"/>
      <c r="D13" s="10"/>
      <c r="E13" s="10"/>
      <c r="F13" s="11"/>
      <c r="G13" s="10"/>
      <c r="H13" s="11" t="str">
        <f aca="false">IF(B13="","",IF(D13="Monthly",DATE(YEAR(F13),MONTH(F13)+1,DAY(F13)),IF(D13="Quarterly",DATE(YEAR(F13),MONTH(F13)+3,DAY(F13)),IF(D13="Annual",DATE(YEAR(F13)+1,MONTH(F13),DAY(F13)),IF(D13="Day Pass",F13+1,"")))))</f>
        <v/>
      </c>
      <c r="I13" s="10" t="str">
        <f aca="true">IF(B13="","",IF(H13="","",H13-TODAY()))</f>
        <v/>
      </c>
      <c r="J13" s="12" t="str">
        <f aca="false">IF(B13="","",IFERROR(INDEX(Setup!$B$4:$B$8,MATCH(D13,Setup!$A$4:$A$8,0)),0))</f>
        <v/>
      </c>
    </row>
    <row r="14" customFormat="false" ht="15" hidden="false" customHeight="false" outlineLevel="0" collapsed="false">
      <c r="A14" s="10" t="str">
        <f aca="false">IF(B14="","",ROW()-3+1)</f>
        <v/>
      </c>
      <c r="B14" s="10"/>
      <c r="C14" s="10"/>
      <c r="D14" s="10"/>
      <c r="E14" s="10"/>
      <c r="F14" s="11"/>
      <c r="G14" s="10"/>
      <c r="H14" s="11" t="str">
        <f aca="false">IF(B14="","",IF(D14="Monthly",DATE(YEAR(F14),MONTH(F14)+1,DAY(F14)),IF(D14="Quarterly",DATE(YEAR(F14),MONTH(F14)+3,DAY(F14)),IF(D14="Annual",DATE(YEAR(F14)+1,MONTH(F14),DAY(F14)),IF(D14="Day Pass",F14+1,"")))))</f>
        <v/>
      </c>
      <c r="I14" s="10" t="str">
        <f aca="true">IF(B14="","",IF(H14="","",H14-TODAY()))</f>
        <v/>
      </c>
      <c r="J14" s="12" t="str">
        <f aca="false">IF(B14="","",IFERROR(INDEX(Setup!$B$4:$B$8,MATCH(D14,Setup!$A$4:$A$8,0)),0))</f>
        <v/>
      </c>
    </row>
    <row r="15" customFormat="false" ht="15" hidden="false" customHeight="false" outlineLevel="0" collapsed="false">
      <c r="A15" s="10" t="str">
        <f aca="false">IF(B15="","",ROW()-3+1)</f>
        <v/>
      </c>
      <c r="B15" s="10"/>
      <c r="C15" s="10"/>
      <c r="D15" s="10"/>
      <c r="E15" s="10"/>
      <c r="F15" s="11"/>
      <c r="G15" s="10"/>
      <c r="H15" s="11" t="str">
        <f aca="false">IF(B15="","",IF(D15="Monthly",DATE(YEAR(F15),MONTH(F15)+1,DAY(F15)),IF(D15="Quarterly",DATE(YEAR(F15),MONTH(F15)+3,DAY(F15)),IF(D15="Annual",DATE(YEAR(F15)+1,MONTH(F15),DAY(F15)),IF(D15="Day Pass",F15+1,"")))))</f>
        <v/>
      </c>
      <c r="I15" s="10" t="str">
        <f aca="true">IF(B15="","",IF(H15="","",H15-TODAY()))</f>
        <v/>
      </c>
      <c r="J15" s="12" t="str">
        <f aca="false">IF(B15="","",IFERROR(INDEX(Setup!$B$4:$B$8,MATCH(D15,Setup!$A$4:$A$8,0)),0))</f>
        <v/>
      </c>
    </row>
    <row r="16" customFormat="false" ht="15" hidden="false" customHeight="false" outlineLevel="0" collapsed="false">
      <c r="A16" s="10" t="str">
        <f aca="false">IF(B16="","",ROW()-3+1)</f>
        <v/>
      </c>
      <c r="B16" s="10"/>
      <c r="C16" s="10"/>
      <c r="D16" s="10"/>
      <c r="E16" s="10"/>
      <c r="F16" s="11"/>
      <c r="G16" s="10"/>
      <c r="H16" s="11" t="str">
        <f aca="false">IF(B16="","",IF(D16="Monthly",DATE(YEAR(F16),MONTH(F16)+1,DAY(F16)),IF(D16="Quarterly",DATE(YEAR(F16),MONTH(F16)+3,DAY(F16)),IF(D16="Annual",DATE(YEAR(F16)+1,MONTH(F16),DAY(F16)),IF(D16="Day Pass",F16+1,"")))))</f>
        <v/>
      </c>
      <c r="I16" s="10" t="str">
        <f aca="true">IF(B16="","",IF(H16="","",H16-TODAY()))</f>
        <v/>
      </c>
      <c r="J16" s="12" t="str">
        <f aca="false">IF(B16="","",IFERROR(INDEX(Setup!$B$4:$B$8,MATCH(D16,Setup!$A$4:$A$8,0)),0))</f>
        <v/>
      </c>
    </row>
    <row r="17" customFormat="false" ht="15" hidden="false" customHeight="false" outlineLevel="0" collapsed="false">
      <c r="A17" s="10" t="str">
        <f aca="false">IF(B17="","",ROW()-3+1)</f>
        <v/>
      </c>
      <c r="B17" s="10"/>
      <c r="C17" s="10"/>
      <c r="D17" s="10"/>
      <c r="E17" s="10"/>
      <c r="F17" s="11"/>
      <c r="G17" s="10"/>
      <c r="H17" s="11" t="str">
        <f aca="false">IF(B17="","",IF(D17="Monthly",DATE(YEAR(F17),MONTH(F17)+1,DAY(F17)),IF(D17="Quarterly",DATE(YEAR(F17),MONTH(F17)+3,DAY(F17)),IF(D17="Annual",DATE(YEAR(F17)+1,MONTH(F17),DAY(F17)),IF(D17="Day Pass",F17+1,"")))))</f>
        <v/>
      </c>
      <c r="I17" s="10" t="str">
        <f aca="true">IF(B17="","",IF(H17="","",H17-TODAY()))</f>
        <v/>
      </c>
      <c r="J17" s="12" t="str">
        <f aca="false">IF(B17="","",IFERROR(INDEX(Setup!$B$4:$B$8,MATCH(D17,Setup!$A$4:$A$8,0)),0))</f>
        <v/>
      </c>
    </row>
    <row r="18" customFormat="false" ht="15" hidden="false" customHeight="false" outlineLevel="0" collapsed="false">
      <c r="A18" s="10" t="str">
        <f aca="false">IF(B18="","",ROW()-3+1)</f>
        <v/>
      </c>
      <c r="B18" s="10"/>
      <c r="C18" s="10"/>
      <c r="D18" s="10"/>
      <c r="E18" s="10"/>
      <c r="F18" s="11"/>
      <c r="G18" s="10"/>
      <c r="H18" s="11" t="str">
        <f aca="false">IF(B18="","",IF(D18="Monthly",DATE(YEAR(F18),MONTH(F18)+1,DAY(F18)),IF(D18="Quarterly",DATE(YEAR(F18),MONTH(F18)+3,DAY(F18)),IF(D18="Annual",DATE(YEAR(F18)+1,MONTH(F18),DAY(F18)),IF(D18="Day Pass",F18+1,"")))))</f>
        <v/>
      </c>
      <c r="I18" s="10" t="str">
        <f aca="true">IF(B18="","",IF(H18="","",H18-TODAY()))</f>
        <v/>
      </c>
      <c r="J18" s="12" t="str">
        <f aca="false">IF(B18="","",IFERROR(INDEX(Setup!$B$4:$B$8,MATCH(D18,Setup!$A$4:$A$8,0)),0))</f>
        <v/>
      </c>
    </row>
    <row r="19" customFormat="false" ht="15" hidden="false" customHeight="false" outlineLevel="0" collapsed="false">
      <c r="A19" s="10" t="str">
        <f aca="false">IF(B19="","",ROW()-3+1)</f>
        <v/>
      </c>
      <c r="B19" s="10"/>
      <c r="C19" s="10"/>
      <c r="D19" s="10"/>
      <c r="E19" s="10"/>
      <c r="F19" s="11"/>
      <c r="G19" s="10"/>
      <c r="H19" s="11" t="str">
        <f aca="false">IF(B19="","",IF(D19="Monthly",DATE(YEAR(F19),MONTH(F19)+1,DAY(F19)),IF(D19="Quarterly",DATE(YEAR(F19),MONTH(F19)+3,DAY(F19)),IF(D19="Annual",DATE(YEAR(F19)+1,MONTH(F19),DAY(F19)),IF(D19="Day Pass",F19+1,"")))))</f>
        <v/>
      </c>
      <c r="I19" s="10" t="str">
        <f aca="true">IF(B19="","",IF(H19="","",H19-TODAY()))</f>
        <v/>
      </c>
      <c r="J19" s="12" t="str">
        <f aca="false">IF(B19="","",IFERROR(INDEX(Setup!$B$4:$B$8,MATCH(D19,Setup!$A$4:$A$8,0)),0))</f>
        <v/>
      </c>
    </row>
    <row r="20" customFormat="false" ht="15" hidden="false" customHeight="false" outlineLevel="0" collapsed="false">
      <c r="A20" s="10" t="str">
        <f aca="false">IF(B20="","",ROW()-3+1)</f>
        <v/>
      </c>
      <c r="B20" s="10"/>
      <c r="C20" s="10"/>
      <c r="D20" s="10"/>
      <c r="E20" s="10"/>
      <c r="F20" s="11"/>
      <c r="G20" s="10"/>
      <c r="H20" s="11" t="str">
        <f aca="false">IF(B20="","",IF(D20="Monthly",DATE(YEAR(F20),MONTH(F20)+1,DAY(F20)),IF(D20="Quarterly",DATE(YEAR(F20),MONTH(F20)+3,DAY(F20)),IF(D20="Annual",DATE(YEAR(F20)+1,MONTH(F20),DAY(F20)),IF(D20="Day Pass",F20+1,"")))))</f>
        <v/>
      </c>
      <c r="I20" s="10" t="str">
        <f aca="true">IF(B20="","",IF(H20="","",H20-TODAY()))</f>
        <v/>
      </c>
      <c r="J20" s="12" t="str">
        <f aca="false">IF(B20="","",IFERROR(INDEX(Setup!$B$4:$B$8,MATCH(D20,Setup!$A$4:$A$8,0)),0))</f>
        <v/>
      </c>
    </row>
    <row r="21" customFormat="false" ht="15" hidden="false" customHeight="false" outlineLevel="0" collapsed="false">
      <c r="A21" s="10" t="str">
        <f aca="false">IF(B21="","",ROW()-3+1)</f>
        <v/>
      </c>
      <c r="B21" s="10"/>
      <c r="C21" s="10"/>
      <c r="D21" s="10"/>
      <c r="E21" s="10"/>
      <c r="F21" s="11"/>
      <c r="G21" s="10"/>
      <c r="H21" s="11" t="str">
        <f aca="false">IF(B21="","",IF(D21="Monthly",DATE(YEAR(F21),MONTH(F21)+1,DAY(F21)),IF(D21="Quarterly",DATE(YEAR(F21),MONTH(F21)+3,DAY(F21)),IF(D21="Annual",DATE(YEAR(F21)+1,MONTH(F21),DAY(F21)),IF(D21="Day Pass",F21+1,"")))))</f>
        <v/>
      </c>
      <c r="I21" s="10" t="str">
        <f aca="true">IF(B21="","",IF(H21="","",H21-TODAY()))</f>
        <v/>
      </c>
      <c r="J21" s="12" t="str">
        <f aca="false">IF(B21="","",IFERROR(INDEX(Setup!$B$4:$B$8,MATCH(D21,Setup!$A$4:$A$8,0)),0))</f>
        <v/>
      </c>
    </row>
    <row r="22" customFormat="false" ht="15" hidden="false" customHeight="false" outlineLevel="0" collapsed="false">
      <c r="A22" s="10" t="str">
        <f aca="false">IF(B22="","",ROW()-3+1)</f>
        <v/>
      </c>
      <c r="B22" s="10"/>
      <c r="C22" s="10"/>
      <c r="D22" s="10"/>
      <c r="E22" s="10"/>
      <c r="F22" s="11"/>
      <c r="G22" s="10"/>
      <c r="H22" s="11" t="str">
        <f aca="false">IF(B22="","",IF(D22="Monthly",DATE(YEAR(F22),MONTH(F22)+1,DAY(F22)),IF(D22="Quarterly",DATE(YEAR(F22),MONTH(F22)+3,DAY(F22)),IF(D22="Annual",DATE(YEAR(F22)+1,MONTH(F22),DAY(F22)),IF(D22="Day Pass",F22+1,"")))))</f>
        <v/>
      </c>
      <c r="I22" s="10" t="str">
        <f aca="true">IF(B22="","",IF(H22="","",H22-TODAY()))</f>
        <v/>
      </c>
      <c r="J22" s="12" t="str">
        <f aca="false">IF(B22="","",IFERROR(INDEX(Setup!$B$4:$B$8,MATCH(D22,Setup!$A$4:$A$8,0)),0))</f>
        <v/>
      </c>
    </row>
    <row r="23" customFormat="false" ht="15" hidden="false" customHeight="false" outlineLevel="0" collapsed="false">
      <c r="A23" s="10" t="str">
        <f aca="false">IF(B23="","",ROW()-3+1)</f>
        <v/>
      </c>
      <c r="B23" s="10"/>
      <c r="C23" s="10"/>
      <c r="D23" s="10"/>
      <c r="E23" s="10"/>
      <c r="F23" s="11"/>
      <c r="G23" s="10"/>
      <c r="H23" s="11" t="str">
        <f aca="false">IF(B23="","",IF(D23="Monthly",DATE(YEAR(F23),MONTH(F23)+1,DAY(F23)),IF(D23="Quarterly",DATE(YEAR(F23),MONTH(F23)+3,DAY(F23)),IF(D23="Annual",DATE(YEAR(F23)+1,MONTH(F23),DAY(F23)),IF(D23="Day Pass",F23+1,"")))))</f>
        <v/>
      </c>
      <c r="I23" s="10" t="str">
        <f aca="true">IF(B23="","",IF(H23="","",H23-TODAY()))</f>
        <v/>
      </c>
      <c r="J23" s="12" t="str">
        <f aca="false">IF(B23="","",IFERROR(INDEX(Setup!$B$4:$B$8,MATCH(D23,Setup!$A$4:$A$8,0)),0))</f>
        <v/>
      </c>
    </row>
    <row r="24" customFormat="false" ht="15" hidden="false" customHeight="false" outlineLevel="0" collapsed="false">
      <c r="A24" s="10" t="str">
        <f aca="false">IF(B24="","",ROW()-3+1)</f>
        <v/>
      </c>
      <c r="B24" s="10"/>
      <c r="C24" s="10"/>
      <c r="D24" s="10"/>
      <c r="E24" s="10"/>
      <c r="F24" s="11"/>
      <c r="G24" s="10"/>
      <c r="H24" s="11" t="str">
        <f aca="false">IF(B24="","",IF(D24="Monthly",DATE(YEAR(F24),MONTH(F24)+1,DAY(F24)),IF(D24="Quarterly",DATE(YEAR(F24),MONTH(F24)+3,DAY(F24)),IF(D24="Annual",DATE(YEAR(F24)+1,MONTH(F24),DAY(F24)),IF(D24="Day Pass",F24+1,"")))))</f>
        <v/>
      </c>
      <c r="I24" s="10" t="str">
        <f aca="true">IF(B24="","",IF(H24="","",H24-TODAY()))</f>
        <v/>
      </c>
      <c r="J24" s="12" t="str">
        <f aca="false">IF(B24="","",IFERROR(INDEX(Setup!$B$4:$B$8,MATCH(D24,Setup!$A$4:$A$8,0)),0))</f>
        <v/>
      </c>
    </row>
    <row r="25" customFormat="false" ht="15" hidden="false" customHeight="false" outlineLevel="0" collapsed="false">
      <c r="A25" s="10" t="str">
        <f aca="false">IF(B25="","",ROW()-3+1)</f>
        <v/>
      </c>
      <c r="B25" s="10"/>
      <c r="C25" s="10"/>
      <c r="D25" s="10"/>
      <c r="E25" s="10"/>
      <c r="F25" s="11"/>
      <c r="G25" s="10"/>
      <c r="H25" s="11" t="str">
        <f aca="false">IF(B25="","",IF(D25="Monthly",DATE(YEAR(F25),MONTH(F25)+1,DAY(F25)),IF(D25="Quarterly",DATE(YEAR(F25),MONTH(F25)+3,DAY(F25)),IF(D25="Annual",DATE(YEAR(F25)+1,MONTH(F25),DAY(F25)),IF(D25="Day Pass",F25+1,"")))))</f>
        <v/>
      </c>
      <c r="I25" s="10" t="str">
        <f aca="true">IF(B25="","",IF(H25="","",H25-TODAY()))</f>
        <v/>
      </c>
      <c r="J25" s="12" t="str">
        <f aca="false">IF(B25="","",IFERROR(INDEX(Setup!$B$4:$B$8,MATCH(D25,Setup!$A$4:$A$8,0)),0))</f>
        <v/>
      </c>
    </row>
    <row r="26" customFormat="false" ht="15" hidden="false" customHeight="false" outlineLevel="0" collapsed="false">
      <c r="A26" s="10" t="str">
        <f aca="false">IF(B26="","",ROW()-3+1)</f>
        <v/>
      </c>
      <c r="B26" s="10"/>
      <c r="C26" s="10"/>
      <c r="D26" s="10"/>
      <c r="E26" s="10"/>
      <c r="F26" s="11"/>
      <c r="G26" s="10"/>
      <c r="H26" s="11" t="str">
        <f aca="false">IF(B26="","",IF(D26="Monthly",DATE(YEAR(F26),MONTH(F26)+1,DAY(F26)),IF(D26="Quarterly",DATE(YEAR(F26),MONTH(F26)+3,DAY(F26)),IF(D26="Annual",DATE(YEAR(F26)+1,MONTH(F26),DAY(F26)),IF(D26="Day Pass",F26+1,"")))))</f>
        <v/>
      </c>
      <c r="I26" s="10" t="str">
        <f aca="true">IF(B26="","",IF(H26="","",H26-TODAY()))</f>
        <v/>
      </c>
      <c r="J26" s="12" t="str">
        <f aca="false">IF(B26="","",IFERROR(INDEX(Setup!$B$4:$B$8,MATCH(D26,Setup!$A$4:$A$8,0)),0))</f>
        <v/>
      </c>
    </row>
    <row r="27" customFormat="false" ht="15" hidden="false" customHeight="false" outlineLevel="0" collapsed="false">
      <c r="A27" s="10" t="str">
        <f aca="false">IF(B27="","",ROW()-3+1)</f>
        <v/>
      </c>
      <c r="B27" s="10"/>
      <c r="C27" s="10"/>
      <c r="D27" s="10"/>
      <c r="E27" s="10"/>
      <c r="F27" s="11"/>
      <c r="G27" s="10"/>
      <c r="H27" s="11" t="str">
        <f aca="false">IF(B27="","",IF(D27="Monthly",DATE(YEAR(F27),MONTH(F27)+1,DAY(F27)),IF(D27="Quarterly",DATE(YEAR(F27),MONTH(F27)+3,DAY(F27)),IF(D27="Annual",DATE(YEAR(F27)+1,MONTH(F27),DAY(F27)),IF(D27="Day Pass",F27+1,"")))))</f>
        <v/>
      </c>
      <c r="I27" s="10" t="str">
        <f aca="true">IF(B27="","",IF(H27="","",H27-TODAY()))</f>
        <v/>
      </c>
      <c r="J27" s="12" t="str">
        <f aca="false">IF(B27="","",IFERROR(INDEX(Setup!$B$4:$B$8,MATCH(D27,Setup!$A$4:$A$8,0)),0))</f>
        <v/>
      </c>
    </row>
    <row r="28" customFormat="false" ht="15" hidden="false" customHeight="false" outlineLevel="0" collapsed="false">
      <c r="A28" s="10" t="str">
        <f aca="false">IF(B28="","",ROW()-3+1)</f>
        <v/>
      </c>
      <c r="B28" s="10"/>
      <c r="C28" s="10"/>
      <c r="D28" s="10"/>
      <c r="E28" s="10"/>
      <c r="F28" s="11"/>
      <c r="G28" s="10"/>
      <c r="H28" s="11" t="str">
        <f aca="false">IF(B28="","",IF(D28="Monthly",DATE(YEAR(F28),MONTH(F28)+1,DAY(F28)),IF(D28="Quarterly",DATE(YEAR(F28),MONTH(F28)+3,DAY(F28)),IF(D28="Annual",DATE(YEAR(F28)+1,MONTH(F28),DAY(F28)),IF(D28="Day Pass",F28+1,"")))))</f>
        <v/>
      </c>
      <c r="I28" s="10" t="str">
        <f aca="true">IF(B28="","",IF(H28="","",H28-TODAY()))</f>
        <v/>
      </c>
      <c r="J28" s="12" t="str">
        <f aca="false">IF(B28="","",IFERROR(INDEX(Setup!$B$4:$B$8,MATCH(D28,Setup!$A$4:$A$8,0)),0))</f>
        <v/>
      </c>
    </row>
    <row r="29" customFormat="false" ht="15" hidden="false" customHeight="false" outlineLevel="0" collapsed="false">
      <c r="A29" s="10" t="str">
        <f aca="false">IF(B29="","",ROW()-3+1)</f>
        <v/>
      </c>
      <c r="B29" s="10"/>
      <c r="C29" s="10"/>
      <c r="D29" s="10"/>
      <c r="E29" s="10"/>
      <c r="F29" s="11"/>
      <c r="G29" s="10"/>
      <c r="H29" s="11" t="str">
        <f aca="false">IF(B29="","",IF(D29="Monthly",DATE(YEAR(F29),MONTH(F29)+1,DAY(F29)),IF(D29="Quarterly",DATE(YEAR(F29),MONTH(F29)+3,DAY(F29)),IF(D29="Annual",DATE(YEAR(F29)+1,MONTH(F29),DAY(F29)),IF(D29="Day Pass",F29+1,"")))))</f>
        <v/>
      </c>
      <c r="I29" s="10" t="str">
        <f aca="true">IF(B29="","",IF(H29="","",H29-TODAY()))</f>
        <v/>
      </c>
      <c r="J29" s="12" t="str">
        <f aca="false">IF(B29="","",IFERROR(INDEX(Setup!$B$4:$B$8,MATCH(D29,Setup!$A$4:$A$8,0)),0))</f>
        <v/>
      </c>
    </row>
    <row r="30" customFormat="false" ht="15" hidden="false" customHeight="false" outlineLevel="0" collapsed="false">
      <c r="A30" s="10" t="str">
        <f aca="false">IF(B30="","",ROW()-3+1)</f>
        <v/>
      </c>
      <c r="B30" s="10"/>
      <c r="C30" s="10"/>
      <c r="D30" s="10"/>
      <c r="E30" s="10"/>
      <c r="F30" s="11"/>
      <c r="G30" s="10"/>
      <c r="H30" s="11" t="str">
        <f aca="false">IF(B30="","",IF(D30="Monthly",DATE(YEAR(F30),MONTH(F30)+1,DAY(F30)),IF(D30="Quarterly",DATE(YEAR(F30),MONTH(F30)+3,DAY(F30)),IF(D30="Annual",DATE(YEAR(F30)+1,MONTH(F30),DAY(F30)),IF(D30="Day Pass",F30+1,"")))))</f>
        <v/>
      </c>
      <c r="I30" s="10" t="str">
        <f aca="true">IF(B30="","",IF(H30="","",H30-TODAY()))</f>
        <v/>
      </c>
      <c r="J30" s="12" t="str">
        <f aca="false">IF(B30="","",IFERROR(INDEX(Setup!$B$4:$B$8,MATCH(D30,Setup!$A$4:$A$8,0)),0))</f>
        <v/>
      </c>
    </row>
    <row r="31" customFormat="false" ht="15" hidden="false" customHeight="false" outlineLevel="0" collapsed="false">
      <c r="A31" s="10" t="str">
        <f aca="false">IF(B31="","",ROW()-3+1)</f>
        <v/>
      </c>
      <c r="B31" s="10"/>
      <c r="C31" s="10"/>
      <c r="D31" s="10"/>
      <c r="E31" s="10"/>
      <c r="F31" s="11"/>
      <c r="G31" s="10"/>
      <c r="H31" s="11" t="str">
        <f aca="false">IF(B31="","",IF(D31="Monthly",DATE(YEAR(F31),MONTH(F31)+1,DAY(F31)),IF(D31="Quarterly",DATE(YEAR(F31),MONTH(F31)+3,DAY(F31)),IF(D31="Annual",DATE(YEAR(F31)+1,MONTH(F31),DAY(F31)),IF(D31="Day Pass",F31+1,"")))))</f>
        <v/>
      </c>
      <c r="I31" s="10" t="str">
        <f aca="true">IF(B31="","",IF(H31="","",H31-TODAY()))</f>
        <v/>
      </c>
      <c r="J31" s="12" t="str">
        <f aca="false">IF(B31="","",IFERROR(INDEX(Setup!$B$4:$B$8,MATCH(D31,Setup!$A$4:$A$8,0)),0))</f>
        <v/>
      </c>
    </row>
    <row r="32" customFormat="false" ht="15" hidden="false" customHeight="false" outlineLevel="0" collapsed="false">
      <c r="A32" s="10" t="str">
        <f aca="false">IF(B32="","",ROW()-3+1)</f>
        <v/>
      </c>
      <c r="B32" s="10"/>
      <c r="C32" s="10"/>
      <c r="D32" s="10"/>
      <c r="E32" s="10"/>
      <c r="F32" s="11"/>
      <c r="G32" s="10"/>
      <c r="H32" s="11" t="str">
        <f aca="false">IF(B32="","",IF(D32="Monthly",DATE(YEAR(F32),MONTH(F32)+1,DAY(F32)),IF(D32="Quarterly",DATE(YEAR(F32),MONTH(F32)+3,DAY(F32)),IF(D32="Annual",DATE(YEAR(F32)+1,MONTH(F32),DAY(F32)),IF(D32="Day Pass",F32+1,"")))))</f>
        <v/>
      </c>
      <c r="I32" s="10" t="str">
        <f aca="true">IF(B32="","",IF(H32="","",H32-TODAY()))</f>
        <v/>
      </c>
      <c r="J32" s="12" t="str">
        <f aca="false">IF(B32="","",IFERROR(INDEX(Setup!$B$4:$B$8,MATCH(D32,Setup!$A$4:$A$8,0)),0))</f>
        <v/>
      </c>
    </row>
    <row r="33" customFormat="false" ht="15" hidden="false" customHeight="false" outlineLevel="0" collapsed="false">
      <c r="A33" s="10" t="str">
        <f aca="false">IF(B33="","",ROW()-3+1)</f>
        <v/>
      </c>
      <c r="B33" s="10"/>
      <c r="C33" s="10"/>
      <c r="D33" s="10"/>
      <c r="E33" s="10"/>
      <c r="F33" s="11"/>
      <c r="G33" s="10"/>
      <c r="H33" s="11" t="str">
        <f aca="false">IF(B33="","",IF(D33="Monthly",DATE(YEAR(F33),MONTH(F33)+1,DAY(F33)),IF(D33="Quarterly",DATE(YEAR(F33),MONTH(F33)+3,DAY(F33)),IF(D33="Annual",DATE(YEAR(F33)+1,MONTH(F33),DAY(F33)),IF(D33="Day Pass",F33+1,"")))))</f>
        <v/>
      </c>
      <c r="I33" s="10" t="str">
        <f aca="true">IF(B33="","",IF(H33="","",H33-TODAY()))</f>
        <v/>
      </c>
      <c r="J33" s="12" t="str">
        <f aca="false">IF(B33="","",IFERROR(INDEX(Setup!$B$4:$B$8,MATCH(D33,Setup!$A$4:$A$8,0)),0))</f>
        <v/>
      </c>
    </row>
    <row r="34" customFormat="false" ht="15" hidden="false" customHeight="false" outlineLevel="0" collapsed="false">
      <c r="A34" s="10" t="str">
        <f aca="false">IF(B34="","",ROW()-3+1)</f>
        <v/>
      </c>
      <c r="B34" s="10"/>
      <c r="C34" s="10"/>
      <c r="D34" s="10"/>
      <c r="E34" s="10"/>
      <c r="F34" s="11"/>
      <c r="G34" s="10"/>
      <c r="H34" s="11" t="str">
        <f aca="false">IF(B34="","",IF(D34="Monthly",DATE(YEAR(F34),MONTH(F34)+1,DAY(F34)),IF(D34="Quarterly",DATE(YEAR(F34),MONTH(F34)+3,DAY(F34)),IF(D34="Annual",DATE(YEAR(F34)+1,MONTH(F34),DAY(F34)),IF(D34="Day Pass",F34+1,"")))))</f>
        <v/>
      </c>
      <c r="I34" s="10" t="str">
        <f aca="true">IF(B34="","",IF(H34="","",H34-TODAY()))</f>
        <v/>
      </c>
      <c r="J34" s="12" t="str">
        <f aca="false">IF(B34="","",IFERROR(INDEX(Setup!$B$4:$B$8,MATCH(D34,Setup!$A$4:$A$8,0)),0))</f>
        <v/>
      </c>
    </row>
    <row r="35" customFormat="false" ht="15" hidden="false" customHeight="false" outlineLevel="0" collapsed="false">
      <c r="A35" s="10" t="str">
        <f aca="false">IF(B35="","",ROW()-3+1)</f>
        <v/>
      </c>
      <c r="B35" s="10"/>
      <c r="C35" s="10"/>
      <c r="D35" s="10"/>
      <c r="E35" s="10"/>
      <c r="F35" s="11"/>
      <c r="G35" s="10"/>
      <c r="H35" s="11" t="str">
        <f aca="false">IF(B35="","",IF(D35="Monthly",DATE(YEAR(F35),MONTH(F35)+1,DAY(F35)),IF(D35="Quarterly",DATE(YEAR(F35),MONTH(F35)+3,DAY(F35)),IF(D35="Annual",DATE(YEAR(F35)+1,MONTH(F35),DAY(F35)),IF(D35="Day Pass",F35+1,"")))))</f>
        <v/>
      </c>
      <c r="I35" s="10" t="str">
        <f aca="true">IF(B35="","",IF(H35="","",H35-TODAY()))</f>
        <v/>
      </c>
      <c r="J35" s="12" t="str">
        <f aca="false">IF(B35="","",IFERROR(INDEX(Setup!$B$4:$B$8,MATCH(D35,Setup!$A$4:$A$8,0)),0))</f>
        <v/>
      </c>
    </row>
    <row r="36" customFormat="false" ht="15" hidden="false" customHeight="false" outlineLevel="0" collapsed="false">
      <c r="A36" s="10" t="str">
        <f aca="false">IF(B36="","",ROW()-3+1)</f>
        <v/>
      </c>
      <c r="B36" s="10"/>
      <c r="C36" s="10"/>
      <c r="D36" s="10"/>
      <c r="E36" s="10"/>
      <c r="F36" s="11"/>
      <c r="G36" s="10"/>
      <c r="H36" s="11" t="str">
        <f aca="false">IF(B36="","",IF(D36="Monthly",DATE(YEAR(F36),MONTH(F36)+1,DAY(F36)),IF(D36="Quarterly",DATE(YEAR(F36),MONTH(F36)+3,DAY(F36)),IF(D36="Annual",DATE(YEAR(F36)+1,MONTH(F36),DAY(F36)),IF(D36="Day Pass",F36+1,"")))))</f>
        <v/>
      </c>
      <c r="I36" s="10" t="str">
        <f aca="true">IF(B36="","",IF(H36="","",H36-TODAY()))</f>
        <v/>
      </c>
      <c r="J36" s="12" t="str">
        <f aca="false">IF(B36="","",IFERROR(INDEX(Setup!$B$4:$B$8,MATCH(D36,Setup!$A$4:$A$8,0)),0))</f>
        <v/>
      </c>
    </row>
    <row r="37" customFormat="false" ht="15" hidden="false" customHeight="false" outlineLevel="0" collapsed="false">
      <c r="A37" s="10" t="str">
        <f aca="false">IF(B37="","",ROW()-3+1)</f>
        <v/>
      </c>
      <c r="B37" s="10"/>
      <c r="C37" s="10"/>
      <c r="D37" s="10"/>
      <c r="E37" s="10"/>
      <c r="F37" s="11"/>
      <c r="G37" s="10"/>
      <c r="H37" s="11" t="str">
        <f aca="false">IF(B37="","",IF(D37="Monthly",DATE(YEAR(F37),MONTH(F37)+1,DAY(F37)),IF(D37="Quarterly",DATE(YEAR(F37),MONTH(F37)+3,DAY(F37)),IF(D37="Annual",DATE(YEAR(F37)+1,MONTH(F37),DAY(F37)),IF(D37="Day Pass",F37+1,"")))))</f>
        <v/>
      </c>
      <c r="I37" s="10" t="str">
        <f aca="true">IF(B37="","",IF(H37="","",H37-TODAY()))</f>
        <v/>
      </c>
      <c r="J37" s="12" t="str">
        <f aca="false">IF(B37="","",IFERROR(INDEX(Setup!$B$4:$B$8,MATCH(D37,Setup!$A$4:$A$8,0)),0))</f>
        <v/>
      </c>
    </row>
    <row r="38" customFormat="false" ht="15" hidden="false" customHeight="false" outlineLevel="0" collapsed="false">
      <c r="A38" s="10" t="str">
        <f aca="false">IF(B38="","",ROW()-3+1)</f>
        <v/>
      </c>
      <c r="B38" s="10"/>
      <c r="C38" s="10"/>
      <c r="D38" s="10"/>
      <c r="E38" s="10"/>
      <c r="F38" s="11"/>
      <c r="G38" s="10"/>
      <c r="H38" s="11" t="str">
        <f aca="false">IF(B38="","",IF(D38="Monthly",DATE(YEAR(F38),MONTH(F38)+1,DAY(F38)),IF(D38="Quarterly",DATE(YEAR(F38),MONTH(F38)+3,DAY(F38)),IF(D38="Annual",DATE(YEAR(F38)+1,MONTH(F38),DAY(F38)),IF(D38="Day Pass",F38+1,"")))))</f>
        <v/>
      </c>
      <c r="I38" s="10" t="str">
        <f aca="true">IF(B38="","",IF(H38="","",H38-TODAY()))</f>
        <v/>
      </c>
      <c r="J38" s="12" t="str">
        <f aca="false">IF(B38="","",IFERROR(INDEX(Setup!$B$4:$B$8,MATCH(D38,Setup!$A$4:$A$8,0)),0))</f>
        <v/>
      </c>
    </row>
    <row r="39" customFormat="false" ht="15" hidden="false" customHeight="false" outlineLevel="0" collapsed="false">
      <c r="A39" s="10" t="str">
        <f aca="false">IF(B39="","",ROW()-3+1)</f>
        <v/>
      </c>
      <c r="B39" s="10"/>
      <c r="C39" s="10"/>
      <c r="D39" s="10"/>
      <c r="E39" s="10"/>
      <c r="F39" s="11"/>
      <c r="G39" s="10"/>
      <c r="H39" s="11" t="str">
        <f aca="false">IF(B39="","",IF(D39="Monthly",DATE(YEAR(F39),MONTH(F39)+1,DAY(F39)),IF(D39="Quarterly",DATE(YEAR(F39),MONTH(F39)+3,DAY(F39)),IF(D39="Annual",DATE(YEAR(F39)+1,MONTH(F39),DAY(F39)),IF(D39="Day Pass",F39+1,"")))))</f>
        <v/>
      </c>
      <c r="I39" s="10" t="str">
        <f aca="true">IF(B39="","",IF(H39="","",H39-TODAY()))</f>
        <v/>
      </c>
      <c r="J39" s="12" t="str">
        <f aca="false">IF(B39="","",IFERROR(INDEX(Setup!$B$4:$B$8,MATCH(D39,Setup!$A$4:$A$8,0)),0))</f>
        <v/>
      </c>
    </row>
    <row r="40" customFormat="false" ht="15" hidden="false" customHeight="false" outlineLevel="0" collapsed="false">
      <c r="A40" s="10" t="str">
        <f aca="false">IF(B40="","",ROW()-3+1)</f>
        <v/>
      </c>
      <c r="B40" s="10"/>
      <c r="C40" s="10"/>
      <c r="D40" s="10"/>
      <c r="E40" s="10"/>
      <c r="F40" s="11"/>
      <c r="G40" s="10"/>
      <c r="H40" s="11" t="str">
        <f aca="false">IF(B40="","",IF(D40="Monthly",DATE(YEAR(F40),MONTH(F40)+1,DAY(F40)),IF(D40="Quarterly",DATE(YEAR(F40),MONTH(F40)+3,DAY(F40)),IF(D40="Annual",DATE(YEAR(F40)+1,MONTH(F40),DAY(F40)),IF(D40="Day Pass",F40+1,"")))))</f>
        <v/>
      </c>
      <c r="I40" s="10" t="str">
        <f aca="true">IF(B40="","",IF(H40="","",H40-TODAY()))</f>
        <v/>
      </c>
      <c r="J40" s="12" t="str">
        <f aca="false">IF(B40="","",IFERROR(INDEX(Setup!$B$4:$B$8,MATCH(D40,Setup!$A$4:$A$8,0)),0))</f>
        <v/>
      </c>
    </row>
    <row r="41" customFormat="false" ht="15" hidden="false" customHeight="false" outlineLevel="0" collapsed="false">
      <c r="A41" s="10" t="str">
        <f aca="false">IF(B41="","",ROW()-3+1)</f>
        <v/>
      </c>
      <c r="B41" s="10"/>
      <c r="C41" s="10"/>
      <c r="D41" s="10"/>
      <c r="E41" s="10"/>
      <c r="F41" s="11"/>
      <c r="G41" s="10"/>
      <c r="H41" s="11" t="str">
        <f aca="false">IF(B41="","",IF(D41="Monthly",DATE(YEAR(F41),MONTH(F41)+1,DAY(F41)),IF(D41="Quarterly",DATE(YEAR(F41),MONTH(F41)+3,DAY(F41)),IF(D41="Annual",DATE(YEAR(F41)+1,MONTH(F41),DAY(F41)),IF(D41="Day Pass",F41+1,"")))))</f>
        <v/>
      </c>
      <c r="I41" s="10" t="str">
        <f aca="true">IF(B41="","",IF(H41="","",H41-TODAY()))</f>
        <v/>
      </c>
      <c r="J41" s="12" t="str">
        <f aca="false">IF(B41="","",IFERROR(INDEX(Setup!$B$4:$B$8,MATCH(D41,Setup!$A$4:$A$8,0)),0))</f>
        <v/>
      </c>
    </row>
    <row r="42" customFormat="false" ht="15" hidden="false" customHeight="false" outlineLevel="0" collapsed="false">
      <c r="A42" s="10" t="str">
        <f aca="false">IF(B42="","",ROW()-3+1)</f>
        <v/>
      </c>
      <c r="B42" s="10"/>
      <c r="C42" s="10"/>
      <c r="D42" s="10"/>
      <c r="E42" s="10"/>
      <c r="F42" s="11"/>
      <c r="G42" s="10"/>
      <c r="H42" s="11" t="str">
        <f aca="false">IF(B42="","",IF(D42="Monthly",DATE(YEAR(F42),MONTH(F42)+1,DAY(F42)),IF(D42="Quarterly",DATE(YEAR(F42),MONTH(F42)+3,DAY(F42)),IF(D42="Annual",DATE(YEAR(F42)+1,MONTH(F42),DAY(F42)),IF(D42="Day Pass",F42+1,"")))))</f>
        <v/>
      </c>
      <c r="I42" s="10" t="str">
        <f aca="true">IF(B42="","",IF(H42="","",H42-TODAY()))</f>
        <v/>
      </c>
      <c r="J42" s="12" t="str">
        <f aca="false">IF(B42="","",IFERROR(INDEX(Setup!$B$4:$B$8,MATCH(D42,Setup!$A$4:$A$8,0)),0))</f>
        <v/>
      </c>
    </row>
    <row r="43" customFormat="false" ht="15" hidden="false" customHeight="false" outlineLevel="0" collapsed="false">
      <c r="A43" s="10" t="str">
        <f aca="false">IF(B43="","",ROW()-3+1)</f>
        <v/>
      </c>
      <c r="B43" s="10"/>
      <c r="C43" s="10"/>
      <c r="D43" s="10"/>
      <c r="E43" s="10"/>
      <c r="F43" s="11"/>
      <c r="G43" s="10"/>
      <c r="H43" s="11" t="str">
        <f aca="false">IF(B43="","",IF(D43="Monthly",DATE(YEAR(F43),MONTH(F43)+1,DAY(F43)),IF(D43="Quarterly",DATE(YEAR(F43),MONTH(F43)+3,DAY(F43)),IF(D43="Annual",DATE(YEAR(F43)+1,MONTH(F43),DAY(F43)),IF(D43="Day Pass",F43+1,"")))))</f>
        <v/>
      </c>
      <c r="I43" s="10" t="str">
        <f aca="true">IF(B43="","",IF(H43="","",H43-TODAY()))</f>
        <v/>
      </c>
      <c r="J43" s="12" t="str">
        <f aca="false">IF(B43="","",IFERROR(INDEX(Setup!$B$4:$B$8,MATCH(D43,Setup!$A$4:$A$8,0)),0))</f>
        <v/>
      </c>
    </row>
    <row r="44" customFormat="false" ht="15" hidden="false" customHeight="false" outlineLevel="0" collapsed="false">
      <c r="A44" s="10" t="str">
        <f aca="false">IF(B44="","",ROW()-3+1)</f>
        <v/>
      </c>
      <c r="B44" s="10"/>
      <c r="C44" s="10"/>
      <c r="D44" s="10"/>
      <c r="E44" s="10"/>
      <c r="F44" s="11"/>
      <c r="G44" s="10"/>
      <c r="H44" s="11" t="str">
        <f aca="false">IF(B44="","",IF(D44="Monthly",DATE(YEAR(F44),MONTH(F44)+1,DAY(F44)),IF(D44="Quarterly",DATE(YEAR(F44),MONTH(F44)+3,DAY(F44)),IF(D44="Annual",DATE(YEAR(F44)+1,MONTH(F44),DAY(F44)),IF(D44="Day Pass",F44+1,"")))))</f>
        <v/>
      </c>
      <c r="I44" s="10" t="str">
        <f aca="true">IF(B44="","",IF(H44="","",H44-TODAY()))</f>
        <v/>
      </c>
      <c r="J44" s="12" t="str">
        <f aca="false">IF(B44="","",IFERROR(INDEX(Setup!$B$4:$B$8,MATCH(D44,Setup!$A$4:$A$8,0)),0))</f>
        <v/>
      </c>
    </row>
    <row r="45" customFormat="false" ht="15" hidden="false" customHeight="false" outlineLevel="0" collapsed="false">
      <c r="A45" s="10" t="str">
        <f aca="false">IF(B45="","",ROW()-3+1)</f>
        <v/>
      </c>
      <c r="B45" s="10"/>
      <c r="C45" s="10"/>
      <c r="D45" s="10"/>
      <c r="E45" s="10"/>
      <c r="F45" s="11"/>
      <c r="G45" s="10"/>
      <c r="H45" s="11" t="str">
        <f aca="false">IF(B45="","",IF(D45="Monthly",DATE(YEAR(F45),MONTH(F45)+1,DAY(F45)),IF(D45="Quarterly",DATE(YEAR(F45),MONTH(F45)+3,DAY(F45)),IF(D45="Annual",DATE(YEAR(F45)+1,MONTH(F45),DAY(F45)),IF(D45="Day Pass",F45+1,"")))))</f>
        <v/>
      </c>
      <c r="I45" s="10" t="str">
        <f aca="true">IF(B45="","",IF(H45="","",H45-TODAY()))</f>
        <v/>
      </c>
      <c r="J45" s="12" t="str">
        <f aca="false">IF(B45="","",IFERROR(INDEX(Setup!$B$4:$B$8,MATCH(D45,Setup!$A$4:$A$8,0)),0))</f>
        <v/>
      </c>
    </row>
    <row r="46" customFormat="false" ht="15" hidden="false" customHeight="false" outlineLevel="0" collapsed="false">
      <c r="A46" s="10" t="str">
        <f aca="false">IF(B46="","",ROW()-3+1)</f>
        <v/>
      </c>
      <c r="B46" s="10"/>
      <c r="C46" s="10"/>
      <c r="D46" s="10"/>
      <c r="E46" s="10"/>
      <c r="F46" s="11"/>
      <c r="G46" s="10"/>
      <c r="H46" s="11" t="str">
        <f aca="false">IF(B46="","",IF(D46="Monthly",DATE(YEAR(F46),MONTH(F46)+1,DAY(F46)),IF(D46="Quarterly",DATE(YEAR(F46),MONTH(F46)+3,DAY(F46)),IF(D46="Annual",DATE(YEAR(F46)+1,MONTH(F46),DAY(F46)),IF(D46="Day Pass",F46+1,"")))))</f>
        <v/>
      </c>
      <c r="I46" s="10" t="str">
        <f aca="true">IF(B46="","",IF(H46="","",H46-TODAY()))</f>
        <v/>
      </c>
      <c r="J46" s="12" t="str">
        <f aca="false">IF(B46="","",IFERROR(INDEX(Setup!$B$4:$B$8,MATCH(D46,Setup!$A$4:$A$8,0)),0))</f>
        <v/>
      </c>
    </row>
    <row r="47" customFormat="false" ht="15" hidden="false" customHeight="false" outlineLevel="0" collapsed="false">
      <c r="A47" s="10" t="str">
        <f aca="false">IF(B47="","",ROW()-3+1)</f>
        <v/>
      </c>
      <c r="B47" s="10"/>
      <c r="C47" s="10"/>
      <c r="D47" s="10"/>
      <c r="E47" s="10"/>
      <c r="F47" s="11"/>
      <c r="G47" s="10"/>
      <c r="H47" s="11" t="str">
        <f aca="false">IF(B47="","",IF(D47="Monthly",DATE(YEAR(F47),MONTH(F47)+1,DAY(F47)),IF(D47="Quarterly",DATE(YEAR(F47),MONTH(F47)+3,DAY(F47)),IF(D47="Annual",DATE(YEAR(F47)+1,MONTH(F47),DAY(F47)),IF(D47="Day Pass",F47+1,"")))))</f>
        <v/>
      </c>
      <c r="I47" s="10" t="str">
        <f aca="true">IF(B47="","",IF(H47="","",H47-TODAY()))</f>
        <v/>
      </c>
      <c r="J47" s="12" t="str">
        <f aca="false">IF(B47="","",IFERROR(INDEX(Setup!$B$4:$B$8,MATCH(D47,Setup!$A$4:$A$8,0)),0))</f>
        <v/>
      </c>
    </row>
    <row r="48" customFormat="false" ht="15" hidden="false" customHeight="false" outlineLevel="0" collapsed="false">
      <c r="A48" s="10" t="str">
        <f aca="false">IF(B48="","",ROW()-3+1)</f>
        <v/>
      </c>
      <c r="B48" s="10"/>
      <c r="C48" s="10"/>
      <c r="D48" s="10"/>
      <c r="E48" s="10"/>
      <c r="F48" s="11"/>
      <c r="G48" s="10"/>
      <c r="H48" s="11" t="str">
        <f aca="false">IF(B48="","",IF(D48="Monthly",DATE(YEAR(F48),MONTH(F48)+1,DAY(F48)),IF(D48="Quarterly",DATE(YEAR(F48),MONTH(F48)+3,DAY(F48)),IF(D48="Annual",DATE(YEAR(F48)+1,MONTH(F48),DAY(F48)),IF(D48="Day Pass",F48+1,"")))))</f>
        <v/>
      </c>
      <c r="I48" s="10" t="str">
        <f aca="true">IF(B48="","",IF(H48="","",H48-TODAY()))</f>
        <v/>
      </c>
      <c r="J48" s="12" t="str">
        <f aca="false">IF(B48="","",IFERROR(INDEX(Setup!$B$4:$B$8,MATCH(D48,Setup!$A$4:$A$8,0)),0))</f>
        <v/>
      </c>
    </row>
    <row r="49" customFormat="false" ht="15" hidden="false" customHeight="false" outlineLevel="0" collapsed="false">
      <c r="A49" s="10" t="str">
        <f aca="false">IF(B49="","",ROW()-3+1)</f>
        <v/>
      </c>
      <c r="B49" s="10"/>
      <c r="C49" s="10"/>
      <c r="D49" s="10"/>
      <c r="E49" s="10"/>
      <c r="F49" s="11"/>
      <c r="G49" s="10"/>
      <c r="H49" s="11" t="str">
        <f aca="false">IF(B49="","",IF(D49="Monthly",DATE(YEAR(F49),MONTH(F49)+1,DAY(F49)),IF(D49="Quarterly",DATE(YEAR(F49),MONTH(F49)+3,DAY(F49)),IF(D49="Annual",DATE(YEAR(F49)+1,MONTH(F49),DAY(F49)),IF(D49="Day Pass",F49+1,"")))))</f>
        <v/>
      </c>
      <c r="I49" s="10" t="str">
        <f aca="true">IF(B49="","",IF(H49="","",H49-TODAY()))</f>
        <v/>
      </c>
      <c r="J49" s="12" t="str">
        <f aca="false">IF(B49="","",IFERROR(INDEX(Setup!$B$4:$B$8,MATCH(D49,Setup!$A$4:$A$8,0)),0))</f>
        <v/>
      </c>
    </row>
    <row r="50" customFormat="false" ht="15" hidden="false" customHeight="false" outlineLevel="0" collapsed="false">
      <c r="A50" s="10" t="str">
        <f aca="false">IF(B50="","",ROW()-3+1)</f>
        <v/>
      </c>
      <c r="B50" s="10"/>
      <c r="C50" s="10"/>
      <c r="D50" s="10"/>
      <c r="E50" s="10"/>
      <c r="F50" s="11"/>
      <c r="G50" s="10"/>
      <c r="H50" s="11" t="str">
        <f aca="false">IF(B50="","",IF(D50="Monthly",DATE(YEAR(F50),MONTH(F50)+1,DAY(F50)),IF(D50="Quarterly",DATE(YEAR(F50),MONTH(F50)+3,DAY(F50)),IF(D50="Annual",DATE(YEAR(F50)+1,MONTH(F50),DAY(F50)),IF(D50="Day Pass",F50+1,"")))))</f>
        <v/>
      </c>
      <c r="I50" s="10" t="str">
        <f aca="true">IF(B50="","",IF(H50="","",H50-TODAY()))</f>
        <v/>
      </c>
      <c r="J50" s="12" t="str">
        <f aca="false">IF(B50="","",IFERROR(INDEX(Setup!$B$4:$B$8,MATCH(D50,Setup!$A$4:$A$8,0)),0))</f>
        <v/>
      </c>
    </row>
    <row r="51" customFormat="false" ht="15" hidden="false" customHeight="false" outlineLevel="0" collapsed="false">
      <c r="A51" s="10" t="str">
        <f aca="false">IF(B51="","",ROW()-3+1)</f>
        <v/>
      </c>
      <c r="B51" s="10"/>
      <c r="C51" s="10"/>
      <c r="D51" s="10"/>
      <c r="E51" s="10"/>
      <c r="F51" s="11"/>
      <c r="G51" s="10"/>
      <c r="H51" s="11" t="str">
        <f aca="false">IF(B51="","",IF(D51="Monthly",DATE(YEAR(F51),MONTH(F51)+1,DAY(F51)),IF(D51="Quarterly",DATE(YEAR(F51),MONTH(F51)+3,DAY(F51)),IF(D51="Annual",DATE(YEAR(F51)+1,MONTH(F51),DAY(F51)),IF(D51="Day Pass",F51+1,"")))))</f>
        <v/>
      </c>
      <c r="I51" s="10" t="str">
        <f aca="true">IF(B51="","",IF(H51="","",H51-TODAY()))</f>
        <v/>
      </c>
      <c r="J51" s="12" t="str">
        <f aca="false">IF(B51="","",IFERROR(INDEX(Setup!$B$4:$B$8,MATCH(D51,Setup!$A$4:$A$8,0)),0))</f>
        <v/>
      </c>
    </row>
    <row r="52" customFormat="false" ht="15" hidden="false" customHeight="false" outlineLevel="0" collapsed="false">
      <c r="A52" s="10" t="str">
        <f aca="false">IF(B52="","",ROW()-3+1)</f>
        <v/>
      </c>
      <c r="B52" s="10"/>
      <c r="C52" s="10"/>
      <c r="D52" s="10"/>
      <c r="E52" s="10"/>
      <c r="F52" s="11"/>
      <c r="G52" s="10"/>
      <c r="H52" s="11" t="str">
        <f aca="false">IF(B52="","",IF(D52="Monthly",DATE(YEAR(F52),MONTH(F52)+1,DAY(F52)),IF(D52="Quarterly",DATE(YEAR(F52),MONTH(F52)+3,DAY(F52)),IF(D52="Annual",DATE(YEAR(F52)+1,MONTH(F52),DAY(F52)),IF(D52="Day Pass",F52+1,"")))))</f>
        <v/>
      </c>
      <c r="I52" s="10" t="str">
        <f aca="true">IF(B52="","",IF(H52="","",H52-TODAY()))</f>
        <v/>
      </c>
      <c r="J52" s="12" t="str">
        <f aca="false">IF(B52="","",IFERROR(INDEX(Setup!$B$4:$B$8,MATCH(D52,Setup!$A$4:$A$8,0)),0))</f>
        <v/>
      </c>
    </row>
    <row r="53" customFormat="false" ht="15" hidden="false" customHeight="false" outlineLevel="0" collapsed="false">
      <c r="A53" s="10" t="str">
        <f aca="false">IF(B53="","",ROW()-3+1)</f>
        <v/>
      </c>
      <c r="B53" s="10"/>
      <c r="C53" s="10"/>
      <c r="D53" s="10"/>
      <c r="E53" s="10"/>
      <c r="F53" s="11"/>
      <c r="G53" s="10"/>
      <c r="H53" s="11" t="str">
        <f aca="false">IF(B53="","",IF(D53="Monthly",DATE(YEAR(F53),MONTH(F53)+1,DAY(F53)),IF(D53="Quarterly",DATE(YEAR(F53),MONTH(F53)+3,DAY(F53)),IF(D53="Annual",DATE(YEAR(F53)+1,MONTH(F53),DAY(F53)),IF(D53="Day Pass",F53+1,"")))))</f>
        <v/>
      </c>
      <c r="I53" s="10" t="str">
        <f aca="true">IF(B53="","",IF(H53="","",H53-TODAY()))</f>
        <v/>
      </c>
      <c r="J53" s="12" t="str">
        <f aca="false">IF(B53="","",IFERROR(INDEX(Setup!$B$4:$B$8,MATCH(D53,Setup!$A$4:$A$8,0)),0))</f>
        <v/>
      </c>
    </row>
    <row r="54" customFormat="false" ht="15" hidden="false" customHeight="false" outlineLevel="0" collapsed="false">
      <c r="A54" s="10" t="str">
        <f aca="false">IF(B54="","",ROW()-3+1)</f>
        <v/>
      </c>
      <c r="B54" s="10"/>
      <c r="C54" s="10"/>
      <c r="D54" s="10"/>
      <c r="E54" s="10"/>
      <c r="F54" s="11"/>
      <c r="G54" s="10"/>
      <c r="H54" s="11" t="str">
        <f aca="false">IF(B54="","",IF(D54="Monthly",DATE(YEAR(F54),MONTH(F54)+1,DAY(F54)),IF(D54="Quarterly",DATE(YEAR(F54),MONTH(F54)+3,DAY(F54)),IF(D54="Annual",DATE(YEAR(F54)+1,MONTH(F54),DAY(F54)),IF(D54="Day Pass",F54+1,"")))))</f>
        <v/>
      </c>
      <c r="I54" s="10" t="str">
        <f aca="true">IF(B54="","",IF(H54="","",H54-TODAY()))</f>
        <v/>
      </c>
      <c r="J54" s="12" t="str">
        <f aca="false">IF(B54="","",IFERROR(INDEX(Setup!$B$4:$B$8,MATCH(D54,Setup!$A$4:$A$8,0)),0))</f>
        <v/>
      </c>
    </row>
    <row r="55" customFormat="false" ht="15" hidden="false" customHeight="false" outlineLevel="0" collapsed="false">
      <c r="A55" s="10" t="str">
        <f aca="false">IF(B55="","",ROW()-3+1)</f>
        <v/>
      </c>
      <c r="B55" s="10"/>
      <c r="C55" s="10"/>
      <c r="D55" s="10"/>
      <c r="E55" s="10"/>
      <c r="F55" s="11"/>
      <c r="G55" s="10"/>
      <c r="H55" s="11" t="str">
        <f aca="false">IF(B55="","",IF(D55="Monthly",DATE(YEAR(F55),MONTH(F55)+1,DAY(F55)),IF(D55="Quarterly",DATE(YEAR(F55),MONTH(F55)+3,DAY(F55)),IF(D55="Annual",DATE(YEAR(F55)+1,MONTH(F55),DAY(F55)),IF(D55="Day Pass",F55+1,"")))))</f>
        <v/>
      </c>
      <c r="I55" s="10" t="str">
        <f aca="true">IF(B55="","",IF(H55="","",H55-TODAY()))</f>
        <v/>
      </c>
      <c r="J55" s="12" t="str">
        <f aca="false">IF(B55="","",IFERROR(INDEX(Setup!$B$4:$B$8,MATCH(D55,Setup!$A$4:$A$8,0)),0))</f>
        <v/>
      </c>
    </row>
    <row r="56" customFormat="false" ht="15" hidden="false" customHeight="false" outlineLevel="0" collapsed="false">
      <c r="A56" s="10" t="str">
        <f aca="false">IF(B56="","",ROW()-3+1)</f>
        <v/>
      </c>
      <c r="B56" s="10"/>
      <c r="C56" s="10"/>
      <c r="D56" s="10"/>
      <c r="E56" s="10"/>
      <c r="F56" s="11"/>
      <c r="G56" s="10"/>
      <c r="H56" s="11" t="str">
        <f aca="false">IF(B56="","",IF(D56="Monthly",DATE(YEAR(F56),MONTH(F56)+1,DAY(F56)),IF(D56="Quarterly",DATE(YEAR(F56),MONTH(F56)+3,DAY(F56)),IF(D56="Annual",DATE(YEAR(F56)+1,MONTH(F56),DAY(F56)),IF(D56="Day Pass",F56+1,"")))))</f>
        <v/>
      </c>
      <c r="I56" s="10" t="str">
        <f aca="true">IF(B56="","",IF(H56="","",H56-TODAY()))</f>
        <v/>
      </c>
      <c r="J56" s="12" t="str">
        <f aca="false">IF(B56="","",IFERROR(INDEX(Setup!$B$4:$B$8,MATCH(D56,Setup!$A$4:$A$8,0)),0))</f>
        <v/>
      </c>
    </row>
    <row r="57" customFormat="false" ht="15" hidden="false" customHeight="false" outlineLevel="0" collapsed="false">
      <c r="A57" s="10" t="str">
        <f aca="false">IF(B57="","",ROW()-3+1)</f>
        <v/>
      </c>
      <c r="B57" s="10"/>
      <c r="C57" s="10"/>
      <c r="D57" s="10"/>
      <c r="E57" s="10"/>
      <c r="F57" s="11"/>
      <c r="G57" s="10"/>
      <c r="H57" s="11" t="str">
        <f aca="false">IF(B57="","",IF(D57="Monthly",DATE(YEAR(F57),MONTH(F57)+1,DAY(F57)),IF(D57="Quarterly",DATE(YEAR(F57),MONTH(F57)+3,DAY(F57)),IF(D57="Annual",DATE(YEAR(F57)+1,MONTH(F57),DAY(F57)),IF(D57="Day Pass",F57+1,"")))))</f>
        <v/>
      </c>
      <c r="I57" s="10" t="str">
        <f aca="true">IF(B57="","",IF(H57="","",H57-TODAY()))</f>
        <v/>
      </c>
      <c r="J57" s="12" t="str">
        <f aca="false">IF(B57="","",IFERROR(INDEX(Setup!$B$4:$B$8,MATCH(D57,Setup!$A$4:$A$8,0)),0))</f>
        <v/>
      </c>
    </row>
    <row r="58" customFormat="false" ht="15" hidden="false" customHeight="false" outlineLevel="0" collapsed="false">
      <c r="A58" s="10" t="str">
        <f aca="false">IF(B58="","",ROW()-3+1)</f>
        <v/>
      </c>
      <c r="B58" s="10"/>
      <c r="C58" s="10"/>
      <c r="D58" s="10"/>
      <c r="E58" s="10"/>
      <c r="F58" s="11"/>
      <c r="G58" s="10"/>
      <c r="H58" s="11" t="str">
        <f aca="false">IF(B58="","",IF(D58="Monthly",DATE(YEAR(F58),MONTH(F58)+1,DAY(F58)),IF(D58="Quarterly",DATE(YEAR(F58),MONTH(F58)+3,DAY(F58)),IF(D58="Annual",DATE(YEAR(F58)+1,MONTH(F58),DAY(F58)),IF(D58="Day Pass",F58+1,"")))))</f>
        <v/>
      </c>
      <c r="I58" s="10" t="str">
        <f aca="true">IF(B58="","",IF(H58="","",H58-TODAY()))</f>
        <v/>
      </c>
      <c r="J58" s="12" t="str">
        <f aca="false">IF(B58="","",IFERROR(INDEX(Setup!$B$4:$B$8,MATCH(D58,Setup!$A$4:$A$8,0)),0))</f>
        <v/>
      </c>
    </row>
    <row r="59" customFormat="false" ht="15" hidden="false" customHeight="false" outlineLevel="0" collapsed="false">
      <c r="A59" s="10" t="str">
        <f aca="false">IF(B59="","",ROW()-3+1)</f>
        <v/>
      </c>
      <c r="B59" s="10"/>
      <c r="C59" s="10"/>
      <c r="D59" s="10"/>
      <c r="E59" s="10"/>
      <c r="F59" s="11"/>
      <c r="G59" s="10"/>
      <c r="H59" s="11" t="str">
        <f aca="false">IF(B59="","",IF(D59="Monthly",DATE(YEAR(F59),MONTH(F59)+1,DAY(F59)),IF(D59="Quarterly",DATE(YEAR(F59),MONTH(F59)+3,DAY(F59)),IF(D59="Annual",DATE(YEAR(F59)+1,MONTH(F59),DAY(F59)),IF(D59="Day Pass",F59+1,"")))))</f>
        <v/>
      </c>
      <c r="I59" s="10" t="str">
        <f aca="true">IF(B59="","",IF(H59="","",H59-TODAY()))</f>
        <v/>
      </c>
      <c r="J59" s="12" t="str">
        <f aca="false">IF(B59="","",IFERROR(INDEX(Setup!$B$4:$B$8,MATCH(D59,Setup!$A$4:$A$8,0)),0))</f>
        <v/>
      </c>
    </row>
    <row r="60" customFormat="false" ht="15" hidden="false" customHeight="false" outlineLevel="0" collapsed="false">
      <c r="A60" s="10" t="str">
        <f aca="false">IF(B60="","",ROW()-3+1)</f>
        <v/>
      </c>
      <c r="B60" s="10"/>
      <c r="C60" s="10"/>
      <c r="D60" s="10"/>
      <c r="E60" s="10"/>
      <c r="F60" s="11"/>
      <c r="G60" s="10"/>
      <c r="H60" s="11" t="str">
        <f aca="false">IF(B60="","",IF(D60="Monthly",DATE(YEAR(F60),MONTH(F60)+1,DAY(F60)),IF(D60="Quarterly",DATE(YEAR(F60),MONTH(F60)+3,DAY(F60)),IF(D60="Annual",DATE(YEAR(F60)+1,MONTH(F60),DAY(F60)),IF(D60="Day Pass",F60+1,"")))))</f>
        <v/>
      </c>
      <c r="I60" s="10" t="str">
        <f aca="true">IF(B60="","",IF(H60="","",H60-TODAY()))</f>
        <v/>
      </c>
      <c r="J60" s="12" t="str">
        <f aca="false">IF(B60="","",IFERROR(INDEX(Setup!$B$4:$B$8,MATCH(D60,Setup!$A$4:$A$8,0)),0))</f>
        <v/>
      </c>
    </row>
    <row r="61" customFormat="false" ht="15" hidden="false" customHeight="false" outlineLevel="0" collapsed="false">
      <c r="A61" s="10" t="str">
        <f aca="false">IF(B61="","",ROW()-3+1)</f>
        <v/>
      </c>
      <c r="B61" s="10"/>
      <c r="C61" s="10"/>
      <c r="D61" s="10"/>
      <c r="E61" s="10"/>
      <c r="F61" s="11"/>
      <c r="G61" s="10"/>
      <c r="H61" s="11" t="str">
        <f aca="false">IF(B61="","",IF(D61="Monthly",DATE(YEAR(F61),MONTH(F61)+1,DAY(F61)),IF(D61="Quarterly",DATE(YEAR(F61),MONTH(F61)+3,DAY(F61)),IF(D61="Annual",DATE(YEAR(F61)+1,MONTH(F61),DAY(F61)),IF(D61="Day Pass",F61+1,"")))))</f>
        <v/>
      </c>
      <c r="I61" s="10" t="str">
        <f aca="true">IF(B61="","",IF(H61="","",H61-TODAY()))</f>
        <v/>
      </c>
      <c r="J61" s="12" t="str">
        <f aca="false">IF(B61="","",IFERROR(INDEX(Setup!$B$4:$B$8,MATCH(D61,Setup!$A$4:$A$8,0)),0))</f>
        <v/>
      </c>
    </row>
    <row r="62" customFormat="false" ht="15" hidden="false" customHeight="false" outlineLevel="0" collapsed="false">
      <c r="A62" s="10" t="str">
        <f aca="false">IF(B62="","",ROW()-3+1)</f>
        <v/>
      </c>
      <c r="B62" s="10"/>
      <c r="C62" s="10"/>
      <c r="D62" s="10"/>
      <c r="E62" s="10"/>
      <c r="F62" s="11"/>
      <c r="G62" s="10"/>
      <c r="H62" s="11" t="str">
        <f aca="false">IF(B62="","",IF(D62="Monthly",DATE(YEAR(F62),MONTH(F62)+1,DAY(F62)),IF(D62="Quarterly",DATE(YEAR(F62),MONTH(F62)+3,DAY(F62)),IF(D62="Annual",DATE(YEAR(F62)+1,MONTH(F62),DAY(F62)),IF(D62="Day Pass",F62+1,"")))))</f>
        <v/>
      </c>
      <c r="I62" s="10" t="str">
        <f aca="true">IF(B62="","",IF(H62="","",H62-TODAY()))</f>
        <v/>
      </c>
      <c r="J62" s="12" t="str">
        <f aca="false">IF(B62="","",IFERROR(INDEX(Setup!$B$4:$B$8,MATCH(D62,Setup!$A$4:$A$8,0)),0))</f>
        <v/>
      </c>
    </row>
    <row r="63" customFormat="false" ht="15" hidden="false" customHeight="false" outlineLevel="0" collapsed="false">
      <c r="A63" s="10" t="str">
        <f aca="false">IF(B63="","",ROW()-3+1)</f>
        <v/>
      </c>
      <c r="B63" s="10"/>
      <c r="C63" s="10"/>
      <c r="D63" s="10"/>
      <c r="E63" s="10"/>
      <c r="F63" s="11"/>
      <c r="G63" s="10"/>
      <c r="H63" s="11" t="str">
        <f aca="false">IF(B63="","",IF(D63="Monthly",DATE(YEAR(F63),MONTH(F63)+1,DAY(F63)),IF(D63="Quarterly",DATE(YEAR(F63),MONTH(F63)+3,DAY(F63)),IF(D63="Annual",DATE(YEAR(F63)+1,MONTH(F63),DAY(F63)),IF(D63="Day Pass",F63+1,"")))))</f>
        <v/>
      </c>
      <c r="I63" s="10" t="str">
        <f aca="true">IF(B63="","",IF(H63="","",H63-TODAY()))</f>
        <v/>
      </c>
      <c r="J63" s="12" t="str">
        <f aca="false">IF(B63="","",IFERROR(INDEX(Setup!$B$4:$B$8,MATCH(D63,Setup!$A$4:$A$8,0)),0))</f>
        <v/>
      </c>
    </row>
    <row r="64" customFormat="false" ht="15" hidden="false" customHeight="false" outlineLevel="0" collapsed="false">
      <c r="A64" s="10" t="str">
        <f aca="false">IF(B64="","",ROW()-3+1)</f>
        <v/>
      </c>
      <c r="B64" s="10"/>
      <c r="C64" s="10"/>
      <c r="D64" s="10"/>
      <c r="E64" s="10"/>
      <c r="F64" s="11"/>
      <c r="G64" s="10"/>
      <c r="H64" s="11" t="str">
        <f aca="false">IF(B64="","",IF(D64="Monthly",DATE(YEAR(F64),MONTH(F64)+1,DAY(F64)),IF(D64="Quarterly",DATE(YEAR(F64),MONTH(F64)+3,DAY(F64)),IF(D64="Annual",DATE(YEAR(F64)+1,MONTH(F64),DAY(F64)),IF(D64="Day Pass",F64+1,"")))))</f>
        <v/>
      </c>
      <c r="I64" s="10" t="str">
        <f aca="true">IF(B64="","",IF(H64="","",H64-TODAY()))</f>
        <v/>
      </c>
      <c r="J64" s="12" t="str">
        <f aca="false">IF(B64="","",IFERROR(INDEX(Setup!$B$4:$B$8,MATCH(D64,Setup!$A$4:$A$8,0)),0))</f>
        <v/>
      </c>
    </row>
    <row r="65" customFormat="false" ht="15" hidden="false" customHeight="false" outlineLevel="0" collapsed="false">
      <c r="A65" s="10" t="str">
        <f aca="false">IF(B65="","",ROW()-3+1)</f>
        <v/>
      </c>
      <c r="B65" s="10"/>
      <c r="C65" s="10"/>
      <c r="D65" s="10"/>
      <c r="E65" s="10"/>
      <c r="F65" s="11"/>
      <c r="G65" s="10"/>
      <c r="H65" s="11" t="str">
        <f aca="false">IF(B65="","",IF(D65="Monthly",DATE(YEAR(F65),MONTH(F65)+1,DAY(F65)),IF(D65="Quarterly",DATE(YEAR(F65),MONTH(F65)+3,DAY(F65)),IF(D65="Annual",DATE(YEAR(F65)+1,MONTH(F65),DAY(F65)),IF(D65="Day Pass",F65+1,"")))))</f>
        <v/>
      </c>
      <c r="I65" s="10" t="str">
        <f aca="true">IF(B65="","",IF(H65="","",H65-TODAY()))</f>
        <v/>
      </c>
      <c r="J65" s="12" t="str">
        <f aca="false">IF(B65="","",IFERROR(INDEX(Setup!$B$4:$B$8,MATCH(D65,Setup!$A$4:$A$8,0)),0))</f>
        <v/>
      </c>
    </row>
    <row r="66" customFormat="false" ht="15" hidden="false" customHeight="false" outlineLevel="0" collapsed="false">
      <c r="A66" s="10" t="str">
        <f aca="false">IF(B66="","",ROW()-3+1)</f>
        <v/>
      </c>
      <c r="B66" s="10"/>
      <c r="C66" s="10"/>
      <c r="D66" s="10"/>
      <c r="E66" s="10"/>
      <c r="F66" s="11"/>
      <c r="G66" s="10"/>
      <c r="H66" s="11" t="str">
        <f aca="false">IF(B66="","",IF(D66="Monthly",DATE(YEAR(F66),MONTH(F66)+1,DAY(F66)),IF(D66="Quarterly",DATE(YEAR(F66),MONTH(F66)+3,DAY(F66)),IF(D66="Annual",DATE(YEAR(F66)+1,MONTH(F66),DAY(F66)),IF(D66="Day Pass",F66+1,"")))))</f>
        <v/>
      </c>
      <c r="I66" s="10" t="str">
        <f aca="true">IF(B66="","",IF(H66="","",H66-TODAY()))</f>
        <v/>
      </c>
      <c r="J66" s="12" t="str">
        <f aca="false">IF(B66="","",IFERROR(INDEX(Setup!$B$4:$B$8,MATCH(D66,Setup!$A$4:$A$8,0)),0))</f>
        <v/>
      </c>
    </row>
    <row r="67" customFormat="false" ht="15" hidden="false" customHeight="false" outlineLevel="0" collapsed="false">
      <c r="A67" s="10" t="str">
        <f aca="false">IF(B67="","",ROW()-3+1)</f>
        <v/>
      </c>
      <c r="B67" s="10"/>
      <c r="C67" s="10"/>
      <c r="D67" s="10"/>
      <c r="E67" s="10"/>
      <c r="F67" s="11"/>
      <c r="G67" s="10"/>
      <c r="H67" s="11" t="str">
        <f aca="false">IF(B67="","",IF(D67="Monthly",DATE(YEAR(F67),MONTH(F67)+1,DAY(F67)),IF(D67="Quarterly",DATE(YEAR(F67),MONTH(F67)+3,DAY(F67)),IF(D67="Annual",DATE(YEAR(F67)+1,MONTH(F67),DAY(F67)),IF(D67="Day Pass",F67+1,"")))))</f>
        <v/>
      </c>
      <c r="I67" s="10" t="str">
        <f aca="true">IF(B67="","",IF(H67="","",H67-TODAY()))</f>
        <v/>
      </c>
      <c r="J67" s="12" t="str">
        <f aca="false">IF(B67="","",IFERROR(INDEX(Setup!$B$4:$B$8,MATCH(D67,Setup!$A$4:$A$8,0)),0))</f>
        <v/>
      </c>
    </row>
    <row r="68" customFormat="false" ht="15" hidden="false" customHeight="false" outlineLevel="0" collapsed="false">
      <c r="A68" s="10" t="str">
        <f aca="false">IF(B68="","",ROW()-3+1)</f>
        <v/>
      </c>
      <c r="B68" s="10"/>
      <c r="C68" s="10"/>
      <c r="D68" s="10"/>
      <c r="E68" s="10"/>
      <c r="F68" s="11"/>
      <c r="G68" s="10"/>
      <c r="H68" s="11" t="str">
        <f aca="false">IF(B68="","",IF(D68="Monthly",DATE(YEAR(F68),MONTH(F68)+1,DAY(F68)),IF(D68="Quarterly",DATE(YEAR(F68),MONTH(F68)+3,DAY(F68)),IF(D68="Annual",DATE(YEAR(F68)+1,MONTH(F68),DAY(F68)),IF(D68="Day Pass",F68+1,"")))))</f>
        <v/>
      </c>
      <c r="I68" s="10" t="str">
        <f aca="true">IF(B68="","",IF(H68="","",H68-TODAY()))</f>
        <v/>
      </c>
      <c r="J68" s="12" t="str">
        <f aca="false">IF(B68="","",IFERROR(INDEX(Setup!$B$4:$B$8,MATCH(D68,Setup!$A$4:$A$8,0)),0))</f>
        <v/>
      </c>
    </row>
    <row r="69" customFormat="false" ht="15" hidden="false" customHeight="false" outlineLevel="0" collapsed="false">
      <c r="A69" s="10" t="str">
        <f aca="false">IF(B69="","",ROW()-3+1)</f>
        <v/>
      </c>
      <c r="B69" s="10"/>
      <c r="C69" s="10"/>
      <c r="D69" s="10"/>
      <c r="E69" s="10"/>
      <c r="F69" s="11"/>
      <c r="G69" s="10"/>
      <c r="H69" s="11" t="str">
        <f aca="false">IF(B69="","",IF(D69="Monthly",DATE(YEAR(F69),MONTH(F69)+1,DAY(F69)),IF(D69="Quarterly",DATE(YEAR(F69),MONTH(F69)+3,DAY(F69)),IF(D69="Annual",DATE(YEAR(F69)+1,MONTH(F69),DAY(F69)),IF(D69="Day Pass",F69+1,"")))))</f>
        <v/>
      </c>
      <c r="I69" s="10" t="str">
        <f aca="true">IF(B69="","",IF(H69="","",H69-TODAY()))</f>
        <v/>
      </c>
      <c r="J69" s="12" t="str">
        <f aca="false">IF(B69="","",IFERROR(INDEX(Setup!$B$4:$B$8,MATCH(D69,Setup!$A$4:$A$8,0)),0))</f>
        <v/>
      </c>
    </row>
    <row r="70" customFormat="false" ht="15" hidden="false" customHeight="false" outlineLevel="0" collapsed="false">
      <c r="A70" s="10" t="str">
        <f aca="false">IF(B70="","",ROW()-3+1)</f>
        <v/>
      </c>
      <c r="B70" s="10"/>
      <c r="C70" s="10"/>
      <c r="D70" s="10"/>
      <c r="E70" s="10"/>
      <c r="F70" s="11"/>
      <c r="G70" s="10"/>
      <c r="H70" s="11" t="str">
        <f aca="false">IF(B70="","",IF(D70="Monthly",DATE(YEAR(F70),MONTH(F70)+1,DAY(F70)),IF(D70="Quarterly",DATE(YEAR(F70),MONTH(F70)+3,DAY(F70)),IF(D70="Annual",DATE(YEAR(F70)+1,MONTH(F70),DAY(F70)),IF(D70="Day Pass",F70+1,"")))))</f>
        <v/>
      </c>
      <c r="I70" s="10" t="str">
        <f aca="true">IF(B70="","",IF(H70="","",H70-TODAY()))</f>
        <v/>
      </c>
      <c r="J70" s="12" t="str">
        <f aca="false">IF(B70="","",IFERROR(INDEX(Setup!$B$4:$B$8,MATCH(D70,Setup!$A$4:$A$8,0)),0))</f>
        <v/>
      </c>
    </row>
    <row r="71" customFormat="false" ht="15" hidden="false" customHeight="false" outlineLevel="0" collapsed="false">
      <c r="A71" s="10" t="str">
        <f aca="false">IF(B71="","",ROW()-3+1)</f>
        <v/>
      </c>
      <c r="B71" s="10"/>
      <c r="C71" s="10"/>
      <c r="D71" s="10"/>
      <c r="E71" s="10"/>
      <c r="F71" s="11"/>
      <c r="G71" s="10"/>
      <c r="H71" s="11" t="str">
        <f aca="false">IF(B71="","",IF(D71="Monthly",DATE(YEAR(F71),MONTH(F71)+1,DAY(F71)),IF(D71="Quarterly",DATE(YEAR(F71),MONTH(F71)+3,DAY(F71)),IF(D71="Annual",DATE(YEAR(F71)+1,MONTH(F71),DAY(F71)),IF(D71="Day Pass",F71+1,"")))))</f>
        <v/>
      </c>
      <c r="I71" s="10" t="str">
        <f aca="true">IF(B71="","",IF(H71="","",H71-TODAY()))</f>
        <v/>
      </c>
      <c r="J71" s="12" t="str">
        <f aca="false">IF(B71="","",IFERROR(INDEX(Setup!$B$4:$B$8,MATCH(D71,Setup!$A$4:$A$8,0)),0))</f>
        <v/>
      </c>
    </row>
    <row r="72" customFormat="false" ht="15" hidden="false" customHeight="false" outlineLevel="0" collapsed="false">
      <c r="A72" s="10" t="str">
        <f aca="false">IF(B72="","",ROW()-3+1)</f>
        <v/>
      </c>
      <c r="B72" s="10"/>
      <c r="C72" s="10"/>
      <c r="D72" s="10"/>
      <c r="E72" s="10"/>
      <c r="F72" s="11"/>
      <c r="G72" s="10"/>
      <c r="H72" s="11" t="str">
        <f aca="false">IF(B72="","",IF(D72="Monthly",DATE(YEAR(F72),MONTH(F72)+1,DAY(F72)),IF(D72="Quarterly",DATE(YEAR(F72),MONTH(F72)+3,DAY(F72)),IF(D72="Annual",DATE(YEAR(F72)+1,MONTH(F72),DAY(F72)),IF(D72="Day Pass",F72+1,"")))))</f>
        <v/>
      </c>
      <c r="I72" s="10" t="str">
        <f aca="true">IF(B72="","",IF(H72="","",H72-TODAY()))</f>
        <v/>
      </c>
      <c r="J72" s="12" t="str">
        <f aca="false">IF(B72="","",IFERROR(INDEX(Setup!$B$4:$B$8,MATCH(D72,Setup!$A$4:$A$8,0)),0))</f>
        <v/>
      </c>
    </row>
    <row r="73" customFormat="false" ht="15" hidden="false" customHeight="false" outlineLevel="0" collapsed="false">
      <c r="A73" s="10" t="str">
        <f aca="false">IF(B73="","",ROW()-3+1)</f>
        <v/>
      </c>
      <c r="B73" s="10"/>
      <c r="C73" s="10"/>
      <c r="D73" s="10"/>
      <c r="E73" s="10"/>
      <c r="F73" s="11"/>
      <c r="G73" s="10"/>
      <c r="H73" s="11" t="str">
        <f aca="false">IF(B73="","",IF(D73="Monthly",DATE(YEAR(F73),MONTH(F73)+1,DAY(F73)),IF(D73="Quarterly",DATE(YEAR(F73),MONTH(F73)+3,DAY(F73)),IF(D73="Annual",DATE(YEAR(F73)+1,MONTH(F73),DAY(F73)),IF(D73="Day Pass",F73+1,"")))))</f>
        <v/>
      </c>
      <c r="I73" s="10" t="str">
        <f aca="true">IF(B73="","",IF(H73="","",H73-TODAY()))</f>
        <v/>
      </c>
      <c r="J73" s="12" t="str">
        <f aca="false">IF(B73="","",IFERROR(INDEX(Setup!$B$4:$B$8,MATCH(D73,Setup!$A$4:$A$8,0)),0))</f>
        <v/>
      </c>
    </row>
    <row r="74" customFormat="false" ht="15" hidden="false" customHeight="false" outlineLevel="0" collapsed="false">
      <c r="A74" s="10" t="str">
        <f aca="false">IF(B74="","",ROW()-3+1)</f>
        <v/>
      </c>
      <c r="B74" s="10"/>
      <c r="C74" s="10"/>
      <c r="D74" s="10"/>
      <c r="E74" s="10"/>
      <c r="F74" s="11"/>
      <c r="G74" s="10"/>
      <c r="H74" s="11" t="str">
        <f aca="false">IF(B74="","",IF(D74="Monthly",DATE(YEAR(F74),MONTH(F74)+1,DAY(F74)),IF(D74="Quarterly",DATE(YEAR(F74),MONTH(F74)+3,DAY(F74)),IF(D74="Annual",DATE(YEAR(F74)+1,MONTH(F74),DAY(F74)),IF(D74="Day Pass",F74+1,"")))))</f>
        <v/>
      </c>
      <c r="I74" s="10" t="str">
        <f aca="true">IF(B74="","",IF(H74="","",H74-TODAY()))</f>
        <v/>
      </c>
      <c r="J74" s="12" t="str">
        <f aca="false">IF(B74="","",IFERROR(INDEX(Setup!$B$4:$B$8,MATCH(D74,Setup!$A$4:$A$8,0)),0))</f>
        <v/>
      </c>
    </row>
    <row r="75" customFormat="false" ht="15" hidden="false" customHeight="false" outlineLevel="0" collapsed="false">
      <c r="A75" s="10" t="str">
        <f aca="false">IF(B75="","",ROW()-3+1)</f>
        <v/>
      </c>
      <c r="B75" s="10"/>
      <c r="C75" s="10"/>
      <c r="D75" s="10"/>
      <c r="E75" s="10"/>
      <c r="F75" s="11"/>
      <c r="G75" s="10"/>
      <c r="H75" s="11" t="str">
        <f aca="false">IF(B75="","",IF(D75="Monthly",DATE(YEAR(F75),MONTH(F75)+1,DAY(F75)),IF(D75="Quarterly",DATE(YEAR(F75),MONTH(F75)+3,DAY(F75)),IF(D75="Annual",DATE(YEAR(F75)+1,MONTH(F75),DAY(F75)),IF(D75="Day Pass",F75+1,"")))))</f>
        <v/>
      </c>
      <c r="I75" s="10" t="str">
        <f aca="true">IF(B75="","",IF(H75="","",H75-TODAY()))</f>
        <v/>
      </c>
      <c r="J75" s="12" t="str">
        <f aca="false">IF(B75="","",IFERROR(INDEX(Setup!$B$4:$B$8,MATCH(D75,Setup!$A$4:$A$8,0)),0))</f>
        <v/>
      </c>
    </row>
    <row r="76" customFormat="false" ht="15" hidden="false" customHeight="false" outlineLevel="0" collapsed="false">
      <c r="A76" s="10" t="str">
        <f aca="false">IF(B76="","",ROW()-3+1)</f>
        <v/>
      </c>
      <c r="B76" s="10"/>
      <c r="C76" s="10"/>
      <c r="D76" s="10"/>
      <c r="E76" s="10"/>
      <c r="F76" s="11"/>
      <c r="G76" s="10"/>
      <c r="H76" s="11" t="str">
        <f aca="false">IF(B76="","",IF(D76="Monthly",DATE(YEAR(F76),MONTH(F76)+1,DAY(F76)),IF(D76="Quarterly",DATE(YEAR(F76),MONTH(F76)+3,DAY(F76)),IF(D76="Annual",DATE(YEAR(F76)+1,MONTH(F76),DAY(F76)),IF(D76="Day Pass",F76+1,"")))))</f>
        <v/>
      </c>
      <c r="I76" s="10" t="str">
        <f aca="true">IF(B76="","",IF(H76="","",H76-TODAY()))</f>
        <v/>
      </c>
      <c r="J76" s="12" t="str">
        <f aca="false">IF(B76="","",IFERROR(INDEX(Setup!$B$4:$B$8,MATCH(D76,Setup!$A$4:$A$8,0)),0))</f>
        <v/>
      </c>
    </row>
    <row r="77" customFormat="false" ht="15" hidden="false" customHeight="false" outlineLevel="0" collapsed="false">
      <c r="A77" s="10" t="str">
        <f aca="false">IF(B77="","",ROW()-3+1)</f>
        <v/>
      </c>
      <c r="B77" s="10"/>
      <c r="C77" s="10"/>
      <c r="D77" s="10"/>
      <c r="E77" s="10"/>
      <c r="F77" s="11"/>
      <c r="G77" s="10"/>
      <c r="H77" s="11" t="str">
        <f aca="false">IF(B77="","",IF(D77="Monthly",DATE(YEAR(F77),MONTH(F77)+1,DAY(F77)),IF(D77="Quarterly",DATE(YEAR(F77),MONTH(F77)+3,DAY(F77)),IF(D77="Annual",DATE(YEAR(F77)+1,MONTH(F77),DAY(F77)),IF(D77="Day Pass",F77+1,"")))))</f>
        <v/>
      </c>
      <c r="I77" s="10" t="str">
        <f aca="true">IF(B77="","",IF(H77="","",H77-TODAY()))</f>
        <v/>
      </c>
      <c r="J77" s="12" t="str">
        <f aca="false">IF(B77="","",IFERROR(INDEX(Setup!$B$4:$B$8,MATCH(D77,Setup!$A$4:$A$8,0)),0))</f>
        <v/>
      </c>
    </row>
    <row r="78" customFormat="false" ht="15" hidden="false" customHeight="false" outlineLevel="0" collapsed="false">
      <c r="A78" s="10" t="str">
        <f aca="false">IF(B78="","",ROW()-3+1)</f>
        <v/>
      </c>
      <c r="B78" s="10"/>
      <c r="C78" s="10"/>
      <c r="D78" s="10"/>
      <c r="E78" s="10"/>
      <c r="F78" s="11"/>
      <c r="G78" s="10"/>
      <c r="H78" s="11" t="str">
        <f aca="false">IF(B78="","",IF(D78="Monthly",DATE(YEAR(F78),MONTH(F78)+1,DAY(F78)),IF(D78="Quarterly",DATE(YEAR(F78),MONTH(F78)+3,DAY(F78)),IF(D78="Annual",DATE(YEAR(F78)+1,MONTH(F78),DAY(F78)),IF(D78="Day Pass",F78+1,"")))))</f>
        <v/>
      </c>
      <c r="I78" s="10" t="str">
        <f aca="true">IF(B78="","",IF(H78="","",H78-TODAY()))</f>
        <v/>
      </c>
      <c r="J78" s="12" t="str">
        <f aca="false">IF(B78="","",IFERROR(INDEX(Setup!$B$4:$B$8,MATCH(D78,Setup!$A$4:$A$8,0)),0))</f>
        <v/>
      </c>
    </row>
    <row r="79" customFormat="false" ht="15" hidden="false" customHeight="false" outlineLevel="0" collapsed="false">
      <c r="A79" s="10" t="str">
        <f aca="false">IF(B79="","",ROW()-3+1)</f>
        <v/>
      </c>
      <c r="B79" s="10"/>
      <c r="C79" s="10"/>
      <c r="D79" s="10"/>
      <c r="E79" s="10"/>
      <c r="F79" s="11"/>
      <c r="G79" s="10"/>
      <c r="H79" s="11" t="str">
        <f aca="false">IF(B79="","",IF(D79="Monthly",DATE(YEAR(F79),MONTH(F79)+1,DAY(F79)),IF(D79="Quarterly",DATE(YEAR(F79),MONTH(F79)+3,DAY(F79)),IF(D79="Annual",DATE(YEAR(F79)+1,MONTH(F79),DAY(F79)),IF(D79="Day Pass",F79+1,"")))))</f>
        <v/>
      </c>
      <c r="I79" s="10" t="str">
        <f aca="true">IF(B79="","",IF(H79="","",H79-TODAY()))</f>
        <v/>
      </c>
      <c r="J79" s="12" t="str">
        <f aca="false">IF(B79="","",IFERROR(INDEX(Setup!$B$4:$B$8,MATCH(D79,Setup!$A$4:$A$8,0)),0))</f>
        <v/>
      </c>
    </row>
    <row r="80" customFormat="false" ht="15" hidden="false" customHeight="false" outlineLevel="0" collapsed="false">
      <c r="A80" s="10" t="str">
        <f aca="false">IF(B80="","",ROW()-3+1)</f>
        <v/>
      </c>
      <c r="B80" s="10"/>
      <c r="C80" s="10"/>
      <c r="D80" s="10"/>
      <c r="E80" s="10"/>
      <c r="F80" s="11"/>
      <c r="G80" s="10"/>
      <c r="H80" s="11" t="str">
        <f aca="false">IF(B80="","",IF(D80="Monthly",DATE(YEAR(F80),MONTH(F80)+1,DAY(F80)),IF(D80="Quarterly",DATE(YEAR(F80),MONTH(F80)+3,DAY(F80)),IF(D80="Annual",DATE(YEAR(F80)+1,MONTH(F80),DAY(F80)),IF(D80="Day Pass",F80+1,"")))))</f>
        <v/>
      </c>
      <c r="I80" s="10" t="str">
        <f aca="true">IF(B80="","",IF(H80="","",H80-TODAY()))</f>
        <v/>
      </c>
      <c r="J80" s="12" t="str">
        <f aca="false">IF(B80="","",IFERROR(INDEX(Setup!$B$4:$B$8,MATCH(D80,Setup!$A$4:$A$8,0)),0))</f>
        <v/>
      </c>
    </row>
    <row r="81" customFormat="false" ht="15" hidden="false" customHeight="false" outlineLevel="0" collapsed="false">
      <c r="A81" s="10" t="str">
        <f aca="false">IF(B81="","",ROW()-3+1)</f>
        <v/>
      </c>
      <c r="B81" s="10"/>
      <c r="C81" s="10"/>
      <c r="D81" s="10"/>
      <c r="E81" s="10"/>
      <c r="F81" s="11"/>
      <c r="G81" s="10"/>
      <c r="H81" s="11" t="str">
        <f aca="false">IF(B81="","",IF(D81="Monthly",DATE(YEAR(F81),MONTH(F81)+1,DAY(F81)),IF(D81="Quarterly",DATE(YEAR(F81),MONTH(F81)+3,DAY(F81)),IF(D81="Annual",DATE(YEAR(F81)+1,MONTH(F81),DAY(F81)),IF(D81="Day Pass",F81+1,"")))))</f>
        <v/>
      </c>
      <c r="I81" s="10" t="str">
        <f aca="true">IF(B81="","",IF(H81="","",H81-TODAY()))</f>
        <v/>
      </c>
      <c r="J81" s="12" t="str">
        <f aca="false">IF(B81="","",IFERROR(INDEX(Setup!$B$4:$B$8,MATCH(D81,Setup!$A$4:$A$8,0)),0))</f>
        <v/>
      </c>
    </row>
    <row r="82" customFormat="false" ht="15" hidden="false" customHeight="false" outlineLevel="0" collapsed="false">
      <c r="A82" s="10" t="str">
        <f aca="false">IF(B82="","",ROW()-3+1)</f>
        <v/>
      </c>
      <c r="B82" s="10"/>
      <c r="C82" s="10"/>
      <c r="D82" s="10"/>
      <c r="E82" s="10"/>
      <c r="F82" s="11"/>
      <c r="G82" s="10"/>
      <c r="H82" s="11" t="str">
        <f aca="false">IF(B82="","",IF(D82="Monthly",DATE(YEAR(F82),MONTH(F82)+1,DAY(F82)),IF(D82="Quarterly",DATE(YEAR(F82),MONTH(F82)+3,DAY(F82)),IF(D82="Annual",DATE(YEAR(F82)+1,MONTH(F82),DAY(F82)),IF(D82="Day Pass",F82+1,"")))))</f>
        <v/>
      </c>
      <c r="I82" s="10" t="str">
        <f aca="true">IF(B82="","",IF(H82="","",H82-TODAY()))</f>
        <v/>
      </c>
      <c r="J82" s="12" t="str">
        <f aca="false">IF(B82="","",IFERROR(INDEX(Setup!$B$4:$B$8,MATCH(D82,Setup!$A$4:$A$8,0)),0))</f>
        <v/>
      </c>
    </row>
    <row r="83" customFormat="false" ht="15" hidden="false" customHeight="false" outlineLevel="0" collapsed="false">
      <c r="A83" s="10" t="str">
        <f aca="false">IF(B83="","",ROW()-3+1)</f>
        <v/>
      </c>
      <c r="B83" s="10"/>
      <c r="C83" s="10"/>
      <c r="D83" s="10"/>
      <c r="E83" s="10"/>
      <c r="F83" s="11"/>
      <c r="G83" s="10"/>
      <c r="H83" s="11" t="str">
        <f aca="false">IF(B83="","",IF(D83="Monthly",DATE(YEAR(F83),MONTH(F83)+1,DAY(F83)),IF(D83="Quarterly",DATE(YEAR(F83),MONTH(F83)+3,DAY(F83)),IF(D83="Annual",DATE(YEAR(F83)+1,MONTH(F83),DAY(F83)),IF(D83="Day Pass",F83+1,"")))))</f>
        <v/>
      </c>
      <c r="I83" s="10" t="str">
        <f aca="true">IF(B83="","",IF(H83="","",H83-TODAY()))</f>
        <v/>
      </c>
      <c r="J83" s="12" t="str">
        <f aca="false">IF(B83="","",IFERROR(INDEX(Setup!$B$4:$B$8,MATCH(D83,Setup!$A$4:$A$8,0)),0))</f>
        <v/>
      </c>
    </row>
    <row r="84" customFormat="false" ht="15" hidden="false" customHeight="false" outlineLevel="0" collapsed="false">
      <c r="A84" s="10" t="str">
        <f aca="false">IF(B84="","",ROW()-3+1)</f>
        <v/>
      </c>
      <c r="B84" s="10"/>
      <c r="C84" s="10"/>
      <c r="D84" s="10"/>
      <c r="E84" s="10"/>
      <c r="F84" s="11"/>
      <c r="G84" s="10"/>
      <c r="H84" s="11" t="str">
        <f aca="false">IF(B84="","",IF(D84="Monthly",DATE(YEAR(F84),MONTH(F84)+1,DAY(F84)),IF(D84="Quarterly",DATE(YEAR(F84),MONTH(F84)+3,DAY(F84)),IF(D84="Annual",DATE(YEAR(F84)+1,MONTH(F84),DAY(F84)),IF(D84="Day Pass",F84+1,"")))))</f>
        <v/>
      </c>
      <c r="I84" s="10" t="str">
        <f aca="true">IF(B84="","",IF(H84="","",H84-TODAY()))</f>
        <v/>
      </c>
      <c r="J84" s="12" t="str">
        <f aca="false">IF(B84="","",IFERROR(INDEX(Setup!$B$4:$B$8,MATCH(D84,Setup!$A$4:$A$8,0)),0))</f>
        <v/>
      </c>
    </row>
    <row r="85" customFormat="false" ht="15" hidden="false" customHeight="false" outlineLevel="0" collapsed="false">
      <c r="A85" s="10" t="str">
        <f aca="false">IF(B85="","",ROW()-3+1)</f>
        <v/>
      </c>
      <c r="B85" s="10"/>
      <c r="C85" s="10"/>
      <c r="D85" s="10"/>
      <c r="E85" s="10"/>
      <c r="F85" s="11"/>
      <c r="G85" s="10"/>
      <c r="H85" s="11" t="str">
        <f aca="false">IF(B85="","",IF(D85="Monthly",DATE(YEAR(F85),MONTH(F85)+1,DAY(F85)),IF(D85="Quarterly",DATE(YEAR(F85),MONTH(F85)+3,DAY(F85)),IF(D85="Annual",DATE(YEAR(F85)+1,MONTH(F85),DAY(F85)),IF(D85="Day Pass",F85+1,"")))))</f>
        <v/>
      </c>
      <c r="I85" s="10" t="str">
        <f aca="true">IF(B85="","",IF(H85="","",H85-TODAY()))</f>
        <v/>
      </c>
      <c r="J85" s="12" t="str">
        <f aca="false">IF(B85="","",IFERROR(INDEX(Setup!$B$4:$B$8,MATCH(D85,Setup!$A$4:$A$8,0)),0))</f>
        <v/>
      </c>
    </row>
    <row r="86" customFormat="false" ht="15" hidden="false" customHeight="false" outlineLevel="0" collapsed="false">
      <c r="A86" s="10" t="str">
        <f aca="false">IF(B86="","",ROW()-3+1)</f>
        <v/>
      </c>
      <c r="B86" s="10"/>
      <c r="C86" s="10"/>
      <c r="D86" s="10"/>
      <c r="E86" s="10"/>
      <c r="F86" s="11"/>
      <c r="G86" s="10"/>
      <c r="H86" s="11" t="str">
        <f aca="false">IF(B86="","",IF(D86="Monthly",DATE(YEAR(F86),MONTH(F86)+1,DAY(F86)),IF(D86="Quarterly",DATE(YEAR(F86),MONTH(F86)+3,DAY(F86)),IF(D86="Annual",DATE(YEAR(F86)+1,MONTH(F86),DAY(F86)),IF(D86="Day Pass",F86+1,"")))))</f>
        <v/>
      </c>
      <c r="I86" s="10" t="str">
        <f aca="true">IF(B86="","",IF(H86="","",H86-TODAY()))</f>
        <v/>
      </c>
      <c r="J86" s="12" t="str">
        <f aca="false">IF(B86="","",IFERROR(INDEX(Setup!$B$4:$B$8,MATCH(D86,Setup!$A$4:$A$8,0)),0))</f>
        <v/>
      </c>
    </row>
    <row r="87" customFormat="false" ht="15" hidden="false" customHeight="false" outlineLevel="0" collapsed="false">
      <c r="A87" s="10" t="str">
        <f aca="false">IF(B87="","",ROW()-3+1)</f>
        <v/>
      </c>
      <c r="B87" s="10"/>
      <c r="C87" s="10"/>
      <c r="D87" s="10"/>
      <c r="E87" s="10"/>
      <c r="F87" s="11"/>
      <c r="G87" s="10"/>
      <c r="H87" s="11" t="str">
        <f aca="false">IF(B87="","",IF(D87="Monthly",DATE(YEAR(F87),MONTH(F87)+1,DAY(F87)),IF(D87="Quarterly",DATE(YEAR(F87),MONTH(F87)+3,DAY(F87)),IF(D87="Annual",DATE(YEAR(F87)+1,MONTH(F87),DAY(F87)),IF(D87="Day Pass",F87+1,"")))))</f>
        <v/>
      </c>
      <c r="I87" s="10" t="str">
        <f aca="true">IF(B87="","",IF(H87="","",H87-TODAY()))</f>
        <v/>
      </c>
      <c r="J87" s="12" t="str">
        <f aca="false">IF(B87="","",IFERROR(INDEX(Setup!$B$4:$B$8,MATCH(D87,Setup!$A$4:$A$8,0)),0))</f>
        <v/>
      </c>
    </row>
    <row r="88" customFormat="false" ht="15" hidden="false" customHeight="false" outlineLevel="0" collapsed="false">
      <c r="A88" s="10" t="str">
        <f aca="false">IF(B88="","",ROW()-3+1)</f>
        <v/>
      </c>
      <c r="B88" s="10"/>
      <c r="C88" s="10"/>
      <c r="D88" s="10"/>
      <c r="E88" s="10"/>
      <c r="F88" s="11"/>
      <c r="G88" s="10"/>
      <c r="H88" s="11" t="str">
        <f aca="false">IF(B88="","",IF(D88="Monthly",DATE(YEAR(F88),MONTH(F88)+1,DAY(F88)),IF(D88="Quarterly",DATE(YEAR(F88),MONTH(F88)+3,DAY(F88)),IF(D88="Annual",DATE(YEAR(F88)+1,MONTH(F88),DAY(F88)),IF(D88="Day Pass",F88+1,"")))))</f>
        <v/>
      </c>
      <c r="I88" s="10" t="str">
        <f aca="true">IF(B88="","",IF(H88="","",H88-TODAY()))</f>
        <v/>
      </c>
      <c r="J88" s="12" t="str">
        <f aca="false">IF(B88="","",IFERROR(INDEX(Setup!$B$4:$B$8,MATCH(D88,Setup!$A$4:$A$8,0)),0))</f>
        <v/>
      </c>
    </row>
    <row r="89" customFormat="false" ht="15" hidden="false" customHeight="false" outlineLevel="0" collapsed="false">
      <c r="A89" s="10" t="str">
        <f aca="false">IF(B89="","",ROW()-3+1)</f>
        <v/>
      </c>
      <c r="B89" s="10"/>
      <c r="C89" s="10"/>
      <c r="D89" s="10"/>
      <c r="E89" s="10"/>
      <c r="F89" s="11"/>
      <c r="G89" s="10"/>
      <c r="H89" s="11" t="str">
        <f aca="false">IF(B89="","",IF(D89="Monthly",DATE(YEAR(F89),MONTH(F89)+1,DAY(F89)),IF(D89="Quarterly",DATE(YEAR(F89),MONTH(F89)+3,DAY(F89)),IF(D89="Annual",DATE(YEAR(F89)+1,MONTH(F89),DAY(F89)),IF(D89="Day Pass",F89+1,"")))))</f>
        <v/>
      </c>
      <c r="I89" s="10" t="str">
        <f aca="true">IF(B89="","",IF(H89="","",H89-TODAY()))</f>
        <v/>
      </c>
      <c r="J89" s="12" t="str">
        <f aca="false">IF(B89="","",IFERROR(INDEX(Setup!$B$4:$B$8,MATCH(D89,Setup!$A$4:$A$8,0)),0))</f>
        <v/>
      </c>
    </row>
    <row r="90" customFormat="false" ht="15" hidden="false" customHeight="false" outlineLevel="0" collapsed="false">
      <c r="A90" s="10" t="str">
        <f aca="false">IF(B90="","",ROW()-3+1)</f>
        <v/>
      </c>
      <c r="B90" s="10"/>
      <c r="C90" s="10"/>
      <c r="D90" s="10"/>
      <c r="E90" s="10"/>
      <c r="F90" s="11"/>
      <c r="G90" s="10"/>
      <c r="H90" s="11" t="str">
        <f aca="false">IF(B90="","",IF(D90="Monthly",DATE(YEAR(F90),MONTH(F90)+1,DAY(F90)),IF(D90="Quarterly",DATE(YEAR(F90),MONTH(F90)+3,DAY(F90)),IF(D90="Annual",DATE(YEAR(F90)+1,MONTH(F90),DAY(F90)),IF(D90="Day Pass",F90+1,"")))))</f>
        <v/>
      </c>
      <c r="I90" s="10" t="str">
        <f aca="true">IF(B90="","",IF(H90="","",H90-TODAY()))</f>
        <v/>
      </c>
      <c r="J90" s="12" t="str">
        <f aca="false">IF(B90="","",IFERROR(INDEX(Setup!$B$4:$B$8,MATCH(D90,Setup!$A$4:$A$8,0)),0))</f>
        <v/>
      </c>
    </row>
    <row r="91" customFormat="false" ht="15" hidden="false" customHeight="false" outlineLevel="0" collapsed="false">
      <c r="A91" s="10" t="str">
        <f aca="false">IF(B91="","",ROW()-3+1)</f>
        <v/>
      </c>
      <c r="B91" s="10"/>
      <c r="C91" s="10"/>
      <c r="D91" s="10"/>
      <c r="E91" s="10"/>
      <c r="F91" s="11"/>
      <c r="G91" s="10"/>
      <c r="H91" s="11" t="str">
        <f aca="false">IF(B91="","",IF(D91="Monthly",DATE(YEAR(F91),MONTH(F91)+1,DAY(F91)),IF(D91="Quarterly",DATE(YEAR(F91),MONTH(F91)+3,DAY(F91)),IF(D91="Annual",DATE(YEAR(F91)+1,MONTH(F91),DAY(F91)),IF(D91="Day Pass",F91+1,"")))))</f>
        <v/>
      </c>
      <c r="I91" s="10" t="str">
        <f aca="true">IF(B91="","",IF(H91="","",H91-TODAY()))</f>
        <v/>
      </c>
      <c r="J91" s="12" t="str">
        <f aca="false">IF(B91="","",IFERROR(INDEX(Setup!$B$4:$B$8,MATCH(D91,Setup!$A$4:$A$8,0)),0))</f>
        <v/>
      </c>
    </row>
    <row r="92" customFormat="false" ht="15" hidden="false" customHeight="false" outlineLevel="0" collapsed="false">
      <c r="A92" s="10" t="str">
        <f aca="false">IF(B92="","",ROW()-3+1)</f>
        <v/>
      </c>
      <c r="B92" s="10"/>
      <c r="C92" s="10"/>
      <c r="D92" s="10"/>
      <c r="E92" s="10"/>
      <c r="F92" s="11"/>
      <c r="G92" s="10"/>
      <c r="H92" s="11" t="str">
        <f aca="false">IF(B92="","",IF(D92="Monthly",DATE(YEAR(F92),MONTH(F92)+1,DAY(F92)),IF(D92="Quarterly",DATE(YEAR(F92),MONTH(F92)+3,DAY(F92)),IF(D92="Annual",DATE(YEAR(F92)+1,MONTH(F92),DAY(F92)),IF(D92="Day Pass",F92+1,"")))))</f>
        <v/>
      </c>
      <c r="I92" s="10" t="str">
        <f aca="true">IF(B92="","",IF(H92="","",H92-TODAY()))</f>
        <v/>
      </c>
      <c r="J92" s="12" t="str">
        <f aca="false">IF(B92="","",IFERROR(INDEX(Setup!$B$4:$B$8,MATCH(D92,Setup!$A$4:$A$8,0)),0))</f>
        <v/>
      </c>
    </row>
    <row r="93" customFormat="false" ht="15" hidden="false" customHeight="false" outlineLevel="0" collapsed="false">
      <c r="A93" s="10" t="str">
        <f aca="false">IF(B93="","",ROW()-3+1)</f>
        <v/>
      </c>
      <c r="B93" s="10"/>
      <c r="C93" s="10"/>
      <c r="D93" s="10"/>
      <c r="E93" s="10"/>
      <c r="F93" s="11"/>
      <c r="G93" s="10"/>
      <c r="H93" s="11" t="str">
        <f aca="false">IF(B93="","",IF(D93="Monthly",DATE(YEAR(F93),MONTH(F93)+1,DAY(F93)),IF(D93="Quarterly",DATE(YEAR(F93),MONTH(F93)+3,DAY(F93)),IF(D93="Annual",DATE(YEAR(F93)+1,MONTH(F93),DAY(F93)),IF(D93="Day Pass",F93+1,"")))))</f>
        <v/>
      </c>
      <c r="I93" s="10" t="str">
        <f aca="true">IF(B93="","",IF(H93="","",H93-TODAY()))</f>
        <v/>
      </c>
      <c r="J93" s="12" t="str">
        <f aca="false">IF(B93="","",IFERROR(INDEX(Setup!$B$4:$B$8,MATCH(D93,Setup!$A$4:$A$8,0)),0))</f>
        <v/>
      </c>
    </row>
    <row r="94" customFormat="false" ht="15" hidden="false" customHeight="false" outlineLevel="0" collapsed="false">
      <c r="A94" s="10" t="str">
        <f aca="false">IF(B94="","",ROW()-3+1)</f>
        <v/>
      </c>
      <c r="B94" s="10"/>
      <c r="C94" s="10"/>
      <c r="D94" s="10"/>
      <c r="E94" s="10"/>
      <c r="F94" s="11"/>
      <c r="G94" s="10"/>
      <c r="H94" s="11" t="str">
        <f aca="false">IF(B94="","",IF(D94="Monthly",DATE(YEAR(F94),MONTH(F94)+1,DAY(F94)),IF(D94="Quarterly",DATE(YEAR(F94),MONTH(F94)+3,DAY(F94)),IF(D94="Annual",DATE(YEAR(F94)+1,MONTH(F94),DAY(F94)),IF(D94="Day Pass",F94+1,"")))))</f>
        <v/>
      </c>
      <c r="I94" s="10" t="str">
        <f aca="true">IF(B94="","",IF(H94="","",H94-TODAY()))</f>
        <v/>
      </c>
      <c r="J94" s="12" t="str">
        <f aca="false">IF(B94="","",IFERROR(INDEX(Setup!$B$4:$B$8,MATCH(D94,Setup!$A$4:$A$8,0)),0))</f>
        <v/>
      </c>
    </row>
    <row r="95" customFormat="false" ht="15" hidden="false" customHeight="false" outlineLevel="0" collapsed="false">
      <c r="A95" s="10" t="str">
        <f aca="false">IF(B95="","",ROW()-3+1)</f>
        <v/>
      </c>
      <c r="B95" s="10"/>
      <c r="C95" s="10"/>
      <c r="D95" s="10"/>
      <c r="E95" s="10"/>
      <c r="F95" s="11"/>
      <c r="G95" s="10"/>
      <c r="H95" s="11" t="str">
        <f aca="false">IF(B95="","",IF(D95="Monthly",DATE(YEAR(F95),MONTH(F95)+1,DAY(F95)),IF(D95="Quarterly",DATE(YEAR(F95),MONTH(F95)+3,DAY(F95)),IF(D95="Annual",DATE(YEAR(F95)+1,MONTH(F95),DAY(F95)),IF(D95="Day Pass",F95+1,"")))))</f>
        <v/>
      </c>
      <c r="I95" s="10" t="str">
        <f aca="true">IF(B95="","",IF(H95="","",H95-TODAY()))</f>
        <v/>
      </c>
      <c r="J95" s="12" t="str">
        <f aca="false">IF(B95="","",IFERROR(INDEX(Setup!$B$4:$B$8,MATCH(D95,Setup!$A$4:$A$8,0)),0))</f>
        <v/>
      </c>
    </row>
    <row r="96" customFormat="false" ht="15" hidden="false" customHeight="false" outlineLevel="0" collapsed="false">
      <c r="A96" s="10" t="str">
        <f aca="false">IF(B96="","",ROW()-3+1)</f>
        <v/>
      </c>
      <c r="B96" s="10"/>
      <c r="C96" s="10"/>
      <c r="D96" s="10"/>
      <c r="E96" s="10"/>
      <c r="F96" s="11"/>
      <c r="G96" s="10"/>
      <c r="H96" s="11" t="str">
        <f aca="false">IF(B96="","",IF(D96="Monthly",DATE(YEAR(F96),MONTH(F96)+1,DAY(F96)),IF(D96="Quarterly",DATE(YEAR(F96),MONTH(F96)+3,DAY(F96)),IF(D96="Annual",DATE(YEAR(F96)+1,MONTH(F96),DAY(F96)),IF(D96="Day Pass",F96+1,"")))))</f>
        <v/>
      </c>
      <c r="I96" s="10" t="str">
        <f aca="true">IF(B96="","",IF(H96="","",H96-TODAY()))</f>
        <v/>
      </c>
      <c r="J96" s="12" t="str">
        <f aca="false">IF(B96="","",IFERROR(INDEX(Setup!$B$4:$B$8,MATCH(D96,Setup!$A$4:$A$8,0)),0))</f>
        <v/>
      </c>
    </row>
    <row r="97" customFormat="false" ht="15" hidden="false" customHeight="false" outlineLevel="0" collapsed="false">
      <c r="A97" s="10" t="str">
        <f aca="false">IF(B97="","",ROW()-3+1)</f>
        <v/>
      </c>
      <c r="B97" s="10"/>
      <c r="C97" s="10"/>
      <c r="D97" s="10"/>
      <c r="E97" s="10"/>
      <c r="F97" s="11"/>
      <c r="G97" s="10"/>
      <c r="H97" s="11" t="str">
        <f aca="false">IF(B97="","",IF(D97="Monthly",DATE(YEAR(F97),MONTH(F97)+1,DAY(F97)),IF(D97="Quarterly",DATE(YEAR(F97),MONTH(F97)+3,DAY(F97)),IF(D97="Annual",DATE(YEAR(F97)+1,MONTH(F97),DAY(F97)),IF(D97="Day Pass",F97+1,"")))))</f>
        <v/>
      </c>
      <c r="I97" s="10" t="str">
        <f aca="true">IF(B97="","",IF(H97="","",H97-TODAY()))</f>
        <v/>
      </c>
      <c r="J97" s="12" t="str">
        <f aca="false">IF(B97="","",IFERROR(INDEX(Setup!$B$4:$B$8,MATCH(D97,Setup!$A$4:$A$8,0)),0))</f>
        <v/>
      </c>
    </row>
    <row r="98" customFormat="false" ht="15" hidden="false" customHeight="false" outlineLevel="0" collapsed="false">
      <c r="A98" s="10" t="str">
        <f aca="false">IF(B98="","",ROW()-3+1)</f>
        <v/>
      </c>
      <c r="B98" s="10"/>
      <c r="C98" s="10"/>
      <c r="D98" s="10"/>
      <c r="E98" s="10"/>
      <c r="F98" s="11"/>
      <c r="G98" s="10"/>
      <c r="H98" s="11" t="str">
        <f aca="false">IF(B98="","",IF(D98="Monthly",DATE(YEAR(F98),MONTH(F98)+1,DAY(F98)),IF(D98="Quarterly",DATE(YEAR(F98),MONTH(F98)+3,DAY(F98)),IF(D98="Annual",DATE(YEAR(F98)+1,MONTH(F98),DAY(F98)),IF(D98="Day Pass",F98+1,"")))))</f>
        <v/>
      </c>
      <c r="I98" s="10" t="str">
        <f aca="true">IF(B98="","",IF(H98="","",H98-TODAY()))</f>
        <v/>
      </c>
      <c r="J98" s="12" t="str">
        <f aca="false">IF(B98="","",IFERROR(INDEX(Setup!$B$4:$B$8,MATCH(D98,Setup!$A$4:$A$8,0)),0))</f>
        <v/>
      </c>
    </row>
    <row r="99" customFormat="false" ht="15" hidden="false" customHeight="false" outlineLevel="0" collapsed="false">
      <c r="A99" s="10" t="str">
        <f aca="false">IF(B99="","",ROW()-3+1)</f>
        <v/>
      </c>
      <c r="B99" s="10"/>
      <c r="C99" s="10"/>
      <c r="D99" s="10"/>
      <c r="E99" s="10"/>
      <c r="F99" s="11"/>
      <c r="G99" s="10"/>
      <c r="H99" s="11" t="str">
        <f aca="false">IF(B99="","",IF(D99="Monthly",DATE(YEAR(F99),MONTH(F99)+1,DAY(F99)),IF(D99="Quarterly",DATE(YEAR(F99),MONTH(F99)+3,DAY(F99)),IF(D99="Annual",DATE(YEAR(F99)+1,MONTH(F99),DAY(F99)),IF(D99="Day Pass",F99+1,"")))))</f>
        <v/>
      </c>
      <c r="I99" s="10" t="str">
        <f aca="true">IF(B99="","",IF(H99="","",H99-TODAY()))</f>
        <v/>
      </c>
      <c r="J99" s="12" t="str">
        <f aca="false">IF(B99="","",IFERROR(INDEX(Setup!$B$4:$B$8,MATCH(D99,Setup!$A$4:$A$8,0)),0))</f>
        <v/>
      </c>
    </row>
    <row r="100" customFormat="false" ht="15" hidden="false" customHeight="false" outlineLevel="0" collapsed="false">
      <c r="A100" s="10" t="str">
        <f aca="false">IF(B100="","",ROW()-3+1)</f>
        <v/>
      </c>
      <c r="B100" s="10"/>
      <c r="C100" s="10"/>
      <c r="D100" s="10"/>
      <c r="E100" s="10"/>
      <c r="F100" s="11"/>
      <c r="G100" s="10"/>
      <c r="H100" s="11" t="str">
        <f aca="false">IF(B100="","",IF(D100="Monthly",DATE(YEAR(F100),MONTH(F100)+1,DAY(F100)),IF(D100="Quarterly",DATE(YEAR(F100),MONTH(F100)+3,DAY(F100)),IF(D100="Annual",DATE(YEAR(F100)+1,MONTH(F100),DAY(F100)),IF(D100="Day Pass",F100+1,"")))))</f>
        <v/>
      </c>
      <c r="I100" s="10" t="str">
        <f aca="true">IF(B100="","",IF(H100="","",H100-TODAY()))</f>
        <v/>
      </c>
      <c r="J100" s="12" t="str">
        <f aca="false">IF(B100="","",IFERROR(INDEX(Setup!$B$4:$B$8,MATCH(D100,Setup!$A$4:$A$8,0)),0))</f>
        <v/>
      </c>
    </row>
    <row r="101" customFormat="false" ht="15" hidden="false" customHeight="false" outlineLevel="0" collapsed="false">
      <c r="A101" s="10" t="str">
        <f aca="false">IF(B101="","",ROW()-3+1)</f>
        <v/>
      </c>
      <c r="B101" s="10"/>
      <c r="C101" s="10"/>
      <c r="D101" s="10"/>
      <c r="E101" s="10"/>
      <c r="F101" s="11"/>
      <c r="G101" s="10"/>
      <c r="H101" s="11" t="str">
        <f aca="false">IF(B101="","",IF(D101="Monthly",DATE(YEAR(F101),MONTH(F101)+1,DAY(F101)),IF(D101="Quarterly",DATE(YEAR(F101),MONTH(F101)+3,DAY(F101)),IF(D101="Annual",DATE(YEAR(F101)+1,MONTH(F101),DAY(F101)),IF(D101="Day Pass",F101+1,"")))))</f>
        <v/>
      </c>
      <c r="I101" s="10" t="str">
        <f aca="true">IF(B101="","",IF(H101="","",H101-TODAY()))</f>
        <v/>
      </c>
      <c r="J101" s="12" t="str">
        <f aca="false">IF(B101="","",IFERROR(INDEX(Setup!$B$4:$B$8,MATCH(D101,Setup!$A$4:$A$8,0)),0))</f>
        <v/>
      </c>
    </row>
    <row r="102" customFormat="false" ht="15" hidden="false" customHeight="false" outlineLevel="0" collapsed="false">
      <c r="A102" s="10" t="str">
        <f aca="false">IF(B102="","",ROW()-3+1)</f>
        <v/>
      </c>
      <c r="B102" s="10"/>
      <c r="C102" s="10"/>
      <c r="D102" s="10"/>
      <c r="E102" s="10"/>
      <c r="F102" s="11"/>
      <c r="G102" s="10"/>
      <c r="H102" s="11" t="str">
        <f aca="false">IF(B102="","",IF(D102="Monthly",DATE(YEAR(F102),MONTH(F102)+1,DAY(F102)),IF(D102="Quarterly",DATE(YEAR(F102),MONTH(F102)+3,DAY(F102)),IF(D102="Annual",DATE(YEAR(F102)+1,MONTH(F102),DAY(F102)),IF(D102="Day Pass",F102+1,"")))))</f>
        <v/>
      </c>
      <c r="I102" s="10" t="str">
        <f aca="true">IF(B102="","",IF(H102="","",H102-TODAY()))</f>
        <v/>
      </c>
      <c r="J102" s="12" t="str">
        <f aca="false">IF(B102="","",IFERROR(INDEX(Setup!$B$4:$B$8,MATCH(D102,Setup!$A$4:$A$8,0)),0))</f>
        <v/>
      </c>
    </row>
  </sheetData>
  <mergeCells count="1">
    <mergeCell ref="A1:J1"/>
  </mergeCells>
  <conditionalFormatting sqref="A3:J102">
    <cfRule type="expression" priority="2" aboveAverage="0" equalAverage="0" bottom="0" percent="0" rank="0" text="" dxfId="0">
      <formula>AND($G3="Active",$I3&lt;&gt;"",$I3&gt;=0,$I3&lt;=7)</formula>
    </cfRule>
    <cfRule type="expression" priority="3" aboveAverage="0" equalAverage="0" bottom="0" percent="0" rank="0" text="" dxfId="1">
      <formula>AND($G3="Active",$I3&lt;&gt;"",$I3&lt;0)</formula>
    </cfRule>
  </conditionalFormatting>
  <dataValidations count="3">
    <dataValidation allowBlank="true" errorStyle="stop" operator="between" showDropDown="false" showErrorMessage="false" showInputMessage="false" sqref="D3:D102" type="list">
      <formula1>Setup!$A$4:$A$8</formula1>
      <formula2>0</formula2>
    </dataValidation>
    <dataValidation allowBlank="true" errorStyle="stop" operator="between" showDropDown="false" showErrorMessage="false" showInputMessage="false" sqref="E3:E102" type="list">
      <formula1>Setup!$D$4:$D$7</formula1>
      <formula2>0</formula2>
    </dataValidation>
    <dataValidation allowBlank="true" errorStyle="stop" operator="between" showDropDown="false" showErrorMessage="false" showInputMessage="false" sqref="G3:G102" type="list">
      <formula1>"Active,Paused,Cancelled"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6" min="5" style="0" width="8"/>
  </cols>
  <sheetData>
    <row r="1" customFormat="false" ht="16.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</row>
    <row r="3" customFormat="false" ht="15" hidden="false" customHeight="false" outlineLevel="0" collapsed="false">
      <c r="A3" s="11"/>
      <c r="B3" s="10"/>
      <c r="C3" s="12"/>
      <c r="D3" s="10"/>
      <c r="E3" s="13" t="n">
        <f aca="false">IFERROR(YEAR(A3),"")</f>
        <v>1899</v>
      </c>
      <c r="F3" s="13" t="n">
        <f aca="false">IFERROR(MONTH(A3),"")</f>
        <v>12</v>
      </c>
    </row>
    <row r="4" customFormat="false" ht="15" hidden="false" customHeight="false" outlineLevel="0" collapsed="false">
      <c r="A4" s="11"/>
      <c r="B4" s="10"/>
      <c r="C4" s="12"/>
      <c r="D4" s="10"/>
      <c r="E4" s="13" t="n">
        <f aca="false">IFERROR(YEAR(A4),"")</f>
        <v>1899</v>
      </c>
      <c r="F4" s="13" t="n">
        <f aca="false">IFERROR(MONTH(A4),"")</f>
        <v>12</v>
      </c>
    </row>
    <row r="5" customFormat="false" ht="15" hidden="false" customHeight="false" outlineLevel="0" collapsed="false">
      <c r="A5" s="11"/>
      <c r="B5" s="10"/>
      <c r="C5" s="12"/>
      <c r="D5" s="10"/>
      <c r="E5" s="13" t="n">
        <f aca="false">IFERROR(YEAR(A5),"")</f>
        <v>1899</v>
      </c>
      <c r="F5" s="13" t="n">
        <f aca="false">IFERROR(MONTH(A5),"")</f>
        <v>12</v>
      </c>
    </row>
    <row r="6" customFormat="false" ht="15" hidden="false" customHeight="false" outlineLevel="0" collapsed="false">
      <c r="A6" s="11"/>
      <c r="B6" s="10"/>
      <c r="C6" s="12"/>
      <c r="D6" s="10"/>
      <c r="E6" s="13" t="n">
        <f aca="false">IFERROR(YEAR(A6),"")</f>
        <v>1899</v>
      </c>
      <c r="F6" s="13" t="n">
        <f aca="false">IFERROR(MONTH(A6),"")</f>
        <v>12</v>
      </c>
    </row>
    <row r="7" customFormat="false" ht="15" hidden="false" customHeight="false" outlineLevel="0" collapsed="false">
      <c r="A7" s="11"/>
      <c r="B7" s="10"/>
      <c r="C7" s="12"/>
      <c r="D7" s="10"/>
      <c r="E7" s="13" t="n">
        <f aca="false">IFERROR(YEAR(A7),"")</f>
        <v>1899</v>
      </c>
      <c r="F7" s="13" t="n">
        <f aca="false">IFERROR(MONTH(A7),"")</f>
        <v>12</v>
      </c>
    </row>
    <row r="8" customFormat="false" ht="15" hidden="false" customHeight="false" outlineLevel="0" collapsed="false">
      <c r="A8" s="11"/>
      <c r="B8" s="10"/>
      <c r="C8" s="12"/>
      <c r="D8" s="10"/>
      <c r="E8" s="13" t="n">
        <f aca="false">IFERROR(YEAR(A8),"")</f>
        <v>1899</v>
      </c>
      <c r="F8" s="13" t="n">
        <f aca="false">IFERROR(MONTH(A8),"")</f>
        <v>12</v>
      </c>
    </row>
    <row r="9" customFormat="false" ht="15" hidden="false" customHeight="false" outlineLevel="0" collapsed="false">
      <c r="A9" s="11"/>
      <c r="B9" s="10"/>
      <c r="C9" s="12"/>
      <c r="D9" s="10"/>
      <c r="E9" s="13" t="n">
        <f aca="false">IFERROR(YEAR(A9),"")</f>
        <v>1899</v>
      </c>
      <c r="F9" s="13" t="n">
        <f aca="false">IFERROR(MONTH(A9),"")</f>
        <v>12</v>
      </c>
    </row>
    <row r="10" customFormat="false" ht="15" hidden="false" customHeight="false" outlineLevel="0" collapsed="false">
      <c r="A10" s="11"/>
      <c r="B10" s="10"/>
      <c r="C10" s="12"/>
      <c r="D10" s="10"/>
      <c r="E10" s="13" t="n">
        <f aca="false">IFERROR(YEAR(A10),"")</f>
        <v>1899</v>
      </c>
      <c r="F10" s="13" t="n">
        <f aca="false">IFERROR(MONTH(A10),"")</f>
        <v>12</v>
      </c>
    </row>
    <row r="11" customFormat="false" ht="15" hidden="false" customHeight="false" outlineLevel="0" collapsed="false">
      <c r="A11" s="11"/>
      <c r="B11" s="10"/>
      <c r="C11" s="12"/>
      <c r="D11" s="10"/>
      <c r="E11" s="13" t="n">
        <f aca="false">IFERROR(YEAR(A11),"")</f>
        <v>1899</v>
      </c>
      <c r="F11" s="13" t="n">
        <f aca="false">IFERROR(MONTH(A11),"")</f>
        <v>12</v>
      </c>
    </row>
    <row r="12" customFormat="false" ht="15" hidden="false" customHeight="false" outlineLevel="0" collapsed="false">
      <c r="A12" s="11"/>
      <c r="B12" s="10"/>
      <c r="C12" s="12"/>
      <c r="D12" s="10"/>
      <c r="E12" s="13" t="n">
        <f aca="false">IFERROR(YEAR(A12),"")</f>
        <v>1899</v>
      </c>
      <c r="F12" s="13" t="n">
        <f aca="false">IFERROR(MONTH(A12),"")</f>
        <v>12</v>
      </c>
    </row>
    <row r="13" customFormat="false" ht="15" hidden="false" customHeight="false" outlineLevel="0" collapsed="false">
      <c r="A13" s="11"/>
      <c r="B13" s="10"/>
      <c r="C13" s="12"/>
      <c r="D13" s="10"/>
      <c r="E13" s="13" t="n">
        <f aca="false">IFERROR(YEAR(A13),"")</f>
        <v>1899</v>
      </c>
      <c r="F13" s="13" t="n">
        <f aca="false">IFERROR(MONTH(A13),"")</f>
        <v>12</v>
      </c>
    </row>
    <row r="14" customFormat="false" ht="15" hidden="false" customHeight="false" outlineLevel="0" collapsed="false">
      <c r="A14" s="11"/>
      <c r="B14" s="10"/>
      <c r="C14" s="12"/>
      <c r="D14" s="10"/>
      <c r="E14" s="13" t="n">
        <f aca="false">IFERROR(YEAR(A14),"")</f>
        <v>1899</v>
      </c>
      <c r="F14" s="13" t="n">
        <f aca="false">IFERROR(MONTH(A14),"")</f>
        <v>12</v>
      </c>
    </row>
    <row r="15" customFormat="false" ht="15" hidden="false" customHeight="false" outlineLevel="0" collapsed="false">
      <c r="A15" s="11"/>
      <c r="B15" s="10"/>
      <c r="C15" s="12"/>
      <c r="D15" s="10"/>
      <c r="E15" s="13" t="n">
        <f aca="false">IFERROR(YEAR(A15),"")</f>
        <v>1899</v>
      </c>
      <c r="F15" s="13" t="n">
        <f aca="false">IFERROR(MONTH(A15),"")</f>
        <v>12</v>
      </c>
    </row>
    <row r="16" customFormat="false" ht="15" hidden="false" customHeight="false" outlineLevel="0" collapsed="false">
      <c r="A16" s="11"/>
      <c r="B16" s="10"/>
      <c r="C16" s="12"/>
      <c r="D16" s="10"/>
      <c r="E16" s="13" t="n">
        <f aca="false">IFERROR(YEAR(A16),"")</f>
        <v>1899</v>
      </c>
      <c r="F16" s="13" t="n">
        <f aca="false">IFERROR(MONTH(A16),"")</f>
        <v>12</v>
      </c>
    </row>
    <row r="17" customFormat="false" ht="15" hidden="false" customHeight="false" outlineLevel="0" collapsed="false">
      <c r="A17" s="11"/>
      <c r="B17" s="10"/>
      <c r="C17" s="12"/>
      <c r="D17" s="10"/>
      <c r="E17" s="13" t="n">
        <f aca="false">IFERROR(YEAR(A17),"")</f>
        <v>1899</v>
      </c>
      <c r="F17" s="13" t="n">
        <f aca="false">IFERROR(MONTH(A17),"")</f>
        <v>12</v>
      </c>
    </row>
    <row r="18" customFormat="false" ht="15" hidden="false" customHeight="false" outlineLevel="0" collapsed="false">
      <c r="A18" s="11"/>
      <c r="B18" s="10"/>
      <c r="C18" s="12"/>
      <c r="D18" s="10"/>
      <c r="E18" s="13" t="n">
        <f aca="false">IFERROR(YEAR(A18),"")</f>
        <v>1899</v>
      </c>
      <c r="F18" s="13" t="n">
        <f aca="false">IFERROR(MONTH(A18),"")</f>
        <v>12</v>
      </c>
    </row>
    <row r="19" customFormat="false" ht="15" hidden="false" customHeight="false" outlineLevel="0" collapsed="false">
      <c r="A19" s="11"/>
      <c r="B19" s="10"/>
      <c r="C19" s="12"/>
      <c r="D19" s="10"/>
      <c r="E19" s="13" t="n">
        <f aca="false">IFERROR(YEAR(A19),"")</f>
        <v>1899</v>
      </c>
      <c r="F19" s="13" t="n">
        <f aca="false">IFERROR(MONTH(A19),"")</f>
        <v>12</v>
      </c>
    </row>
    <row r="20" customFormat="false" ht="15" hidden="false" customHeight="false" outlineLevel="0" collapsed="false">
      <c r="A20" s="11"/>
      <c r="B20" s="10"/>
      <c r="C20" s="12"/>
      <c r="D20" s="10"/>
      <c r="E20" s="13" t="n">
        <f aca="false">IFERROR(YEAR(A20),"")</f>
        <v>1899</v>
      </c>
      <c r="F20" s="13" t="n">
        <f aca="false">IFERROR(MONTH(A20),"")</f>
        <v>12</v>
      </c>
    </row>
    <row r="21" customFormat="false" ht="15" hidden="false" customHeight="false" outlineLevel="0" collapsed="false">
      <c r="A21" s="11"/>
      <c r="B21" s="10"/>
      <c r="C21" s="12"/>
      <c r="D21" s="10"/>
      <c r="E21" s="13" t="n">
        <f aca="false">IFERROR(YEAR(A21),"")</f>
        <v>1899</v>
      </c>
      <c r="F21" s="13" t="n">
        <f aca="false">IFERROR(MONTH(A21),"")</f>
        <v>12</v>
      </c>
    </row>
    <row r="22" customFormat="false" ht="15" hidden="false" customHeight="false" outlineLevel="0" collapsed="false">
      <c r="A22" s="11"/>
      <c r="B22" s="10"/>
      <c r="C22" s="12"/>
      <c r="D22" s="10"/>
      <c r="E22" s="13" t="n">
        <f aca="false">IFERROR(YEAR(A22),"")</f>
        <v>1899</v>
      </c>
      <c r="F22" s="13" t="n">
        <f aca="false">IFERROR(MONTH(A22),"")</f>
        <v>12</v>
      </c>
    </row>
    <row r="23" customFormat="false" ht="15" hidden="false" customHeight="false" outlineLevel="0" collapsed="false">
      <c r="A23" s="11"/>
      <c r="B23" s="10"/>
      <c r="C23" s="12"/>
      <c r="D23" s="10"/>
      <c r="E23" s="13" t="n">
        <f aca="false">IFERROR(YEAR(A23),"")</f>
        <v>1899</v>
      </c>
      <c r="F23" s="13" t="n">
        <f aca="false">IFERROR(MONTH(A23),"")</f>
        <v>12</v>
      </c>
    </row>
    <row r="24" customFormat="false" ht="15" hidden="false" customHeight="false" outlineLevel="0" collapsed="false">
      <c r="A24" s="11"/>
      <c r="B24" s="10"/>
      <c r="C24" s="12"/>
      <c r="D24" s="10"/>
      <c r="E24" s="13" t="n">
        <f aca="false">IFERROR(YEAR(A24),"")</f>
        <v>1899</v>
      </c>
      <c r="F24" s="13" t="n">
        <f aca="false">IFERROR(MONTH(A24),"")</f>
        <v>12</v>
      </c>
    </row>
    <row r="25" customFormat="false" ht="15" hidden="false" customHeight="false" outlineLevel="0" collapsed="false">
      <c r="A25" s="11"/>
      <c r="B25" s="10"/>
      <c r="C25" s="12"/>
      <c r="D25" s="10"/>
      <c r="E25" s="13" t="n">
        <f aca="false">IFERROR(YEAR(A25),"")</f>
        <v>1899</v>
      </c>
      <c r="F25" s="13" t="n">
        <f aca="false">IFERROR(MONTH(A25),"")</f>
        <v>12</v>
      </c>
    </row>
    <row r="26" customFormat="false" ht="15" hidden="false" customHeight="false" outlineLevel="0" collapsed="false">
      <c r="A26" s="11"/>
      <c r="B26" s="10"/>
      <c r="C26" s="12"/>
      <c r="D26" s="10"/>
      <c r="E26" s="13" t="n">
        <f aca="false">IFERROR(YEAR(A26),"")</f>
        <v>1899</v>
      </c>
      <c r="F26" s="13" t="n">
        <f aca="false">IFERROR(MONTH(A26),"")</f>
        <v>12</v>
      </c>
    </row>
    <row r="27" customFormat="false" ht="15" hidden="false" customHeight="false" outlineLevel="0" collapsed="false">
      <c r="A27" s="11"/>
      <c r="B27" s="10"/>
      <c r="C27" s="12"/>
      <c r="D27" s="10"/>
      <c r="E27" s="13" t="n">
        <f aca="false">IFERROR(YEAR(A27),"")</f>
        <v>1899</v>
      </c>
      <c r="F27" s="13" t="n">
        <f aca="false">IFERROR(MONTH(A27),"")</f>
        <v>12</v>
      </c>
    </row>
    <row r="28" customFormat="false" ht="15" hidden="false" customHeight="false" outlineLevel="0" collapsed="false">
      <c r="A28" s="11"/>
      <c r="B28" s="10"/>
      <c r="C28" s="12"/>
      <c r="D28" s="10"/>
      <c r="E28" s="13" t="n">
        <f aca="false">IFERROR(YEAR(A28),"")</f>
        <v>1899</v>
      </c>
      <c r="F28" s="13" t="n">
        <f aca="false">IFERROR(MONTH(A28),"")</f>
        <v>12</v>
      </c>
    </row>
    <row r="29" customFormat="false" ht="15" hidden="false" customHeight="false" outlineLevel="0" collapsed="false">
      <c r="A29" s="11"/>
      <c r="B29" s="10"/>
      <c r="C29" s="12"/>
      <c r="D29" s="10"/>
      <c r="E29" s="13" t="n">
        <f aca="false">IFERROR(YEAR(A29),"")</f>
        <v>1899</v>
      </c>
      <c r="F29" s="13" t="n">
        <f aca="false">IFERROR(MONTH(A29),"")</f>
        <v>12</v>
      </c>
    </row>
    <row r="30" customFormat="false" ht="15" hidden="false" customHeight="false" outlineLevel="0" collapsed="false">
      <c r="A30" s="11"/>
      <c r="B30" s="10"/>
      <c r="C30" s="12"/>
      <c r="D30" s="10"/>
      <c r="E30" s="13" t="n">
        <f aca="false">IFERROR(YEAR(A30),"")</f>
        <v>1899</v>
      </c>
      <c r="F30" s="13" t="n">
        <f aca="false">IFERROR(MONTH(A30),"")</f>
        <v>12</v>
      </c>
    </row>
    <row r="31" customFormat="false" ht="15" hidden="false" customHeight="false" outlineLevel="0" collapsed="false">
      <c r="A31" s="11"/>
      <c r="B31" s="10"/>
      <c r="C31" s="12"/>
      <c r="D31" s="10"/>
      <c r="E31" s="13" t="n">
        <f aca="false">IFERROR(YEAR(A31),"")</f>
        <v>1899</v>
      </c>
      <c r="F31" s="13" t="n">
        <f aca="false">IFERROR(MONTH(A31),"")</f>
        <v>12</v>
      </c>
    </row>
    <row r="32" customFormat="false" ht="15" hidden="false" customHeight="false" outlineLevel="0" collapsed="false">
      <c r="A32" s="11"/>
      <c r="B32" s="10"/>
      <c r="C32" s="12"/>
      <c r="D32" s="10"/>
      <c r="E32" s="13" t="n">
        <f aca="false">IFERROR(YEAR(A32),"")</f>
        <v>1899</v>
      </c>
      <c r="F32" s="13" t="n">
        <f aca="false">IFERROR(MONTH(A32),"")</f>
        <v>12</v>
      </c>
    </row>
    <row r="33" customFormat="false" ht="15" hidden="false" customHeight="false" outlineLevel="0" collapsed="false">
      <c r="A33" s="11"/>
      <c r="B33" s="10"/>
      <c r="C33" s="12"/>
      <c r="D33" s="10"/>
      <c r="E33" s="13" t="n">
        <f aca="false">IFERROR(YEAR(A33),"")</f>
        <v>1899</v>
      </c>
      <c r="F33" s="13" t="n">
        <f aca="false">IFERROR(MONTH(A33),"")</f>
        <v>12</v>
      </c>
    </row>
    <row r="34" customFormat="false" ht="15" hidden="false" customHeight="false" outlineLevel="0" collapsed="false">
      <c r="A34" s="11"/>
      <c r="B34" s="10"/>
      <c r="C34" s="12"/>
      <c r="D34" s="10"/>
      <c r="E34" s="13" t="n">
        <f aca="false">IFERROR(YEAR(A34),"")</f>
        <v>1899</v>
      </c>
      <c r="F34" s="13" t="n">
        <f aca="false">IFERROR(MONTH(A34),"")</f>
        <v>12</v>
      </c>
    </row>
    <row r="35" customFormat="false" ht="15" hidden="false" customHeight="false" outlineLevel="0" collapsed="false">
      <c r="A35" s="11"/>
      <c r="B35" s="10"/>
      <c r="C35" s="12"/>
      <c r="D35" s="10"/>
      <c r="E35" s="13" t="n">
        <f aca="false">IFERROR(YEAR(A35),"")</f>
        <v>1899</v>
      </c>
      <c r="F35" s="13" t="n">
        <f aca="false">IFERROR(MONTH(A35),"")</f>
        <v>12</v>
      </c>
    </row>
    <row r="36" customFormat="false" ht="15" hidden="false" customHeight="false" outlineLevel="0" collapsed="false">
      <c r="A36" s="11"/>
      <c r="B36" s="10"/>
      <c r="C36" s="12"/>
      <c r="D36" s="10"/>
      <c r="E36" s="13" t="n">
        <f aca="false">IFERROR(YEAR(A36),"")</f>
        <v>1899</v>
      </c>
      <c r="F36" s="13" t="n">
        <f aca="false">IFERROR(MONTH(A36),"")</f>
        <v>12</v>
      </c>
    </row>
    <row r="37" customFormat="false" ht="15" hidden="false" customHeight="false" outlineLevel="0" collapsed="false">
      <c r="A37" s="11"/>
      <c r="B37" s="10"/>
      <c r="C37" s="12"/>
      <c r="D37" s="10"/>
      <c r="E37" s="13" t="n">
        <f aca="false">IFERROR(YEAR(A37),"")</f>
        <v>1899</v>
      </c>
      <c r="F37" s="13" t="n">
        <f aca="false">IFERROR(MONTH(A37),"")</f>
        <v>12</v>
      </c>
    </row>
    <row r="38" customFormat="false" ht="15" hidden="false" customHeight="false" outlineLevel="0" collapsed="false">
      <c r="A38" s="11"/>
      <c r="B38" s="10"/>
      <c r="C38" s="12"/>
      <c r="D38" s="10"/>
      <c r="E38" s="13" t="n">
        <f aca="false">IFERROR(YEAR(A38),"")</f>
        <v>1899</v>
      </c>
      <c r="F38" s="13" t="n">
        <f aca="false">IFERROR(MONTH(A38),"")</f>
        <v>12</v>
      </c>
    </row>
    <row r="39" customFormat="false" ht="15" hidden="false" customHeight="false" outlineLevel="0" collapsed="false">
      <c r="A39" s="11"/>
      <c r="B39" s="10"/>
      <c r="C39" s="12"/>
      <c r="D39" s="10"/>
      <c r="E39" s="13" t="n">
        <f aca="false">IFERROR(YEAR(A39),"")</f>
        <v>1899</v>
      </c>
      <c r="F39" s="13" t="n">
        <f aca="false">IFERROR(MONTH(A39),"")</f>
        <v>12</v>
      </c>
    </row>
    <row r="40" customFormat="false" ht="15" hidden="false" customHeight="false" outlineLevel="0" collapsed="false">
      <c r="A40" s="11"/>
      <c r="B40" s="10"/>
      <c r="C40" s="12"/>
      <c r="D40" s="10"/>
      <c r="E40" s="13" t="n">
        <f aca="false">IFERROR(YEAR(A40),"")</f>
        <v>1899</v>
      </c>
      <c r="F40" s="13" t="n">
        <f aca="false">IFERROR(MONTH(A40),"")</f>
        <v>12</v>
      </c>
    </row>
    <row r="41" customFormat="false" ht="15" hidden="false" customHeight="false" outlineLevel="0" collapsed="false">
      <c r="A41" s="11"/>
      <c r="B41" s="10"/>
      <c r="C41" s="12"/>
      <c r="D41" s="10"/>
      <c r="E41" s="13" t="n">
        <f aca="false">IFERROR(YEAR(A41),"")</f>
        <v>1899</v>
      </c>
      <c r="F41" s="13" t="n">
        <f aca="false">IFERROR(MONTH(A41),"")</f>
        <v>12</v>
      </c>
    </row>
    <row r="42" customFormat="false" ht="15" hidden="false" customHeight="false" outlineLevel="0" collapsed="false">
      <c r="A42" s="11"/>
      <c r="B42" s="10"/>
      <c r="C42" s="12"/>
      <c r="D42" s="10"/>
      <c r="E42" s="13" t="n">
        <f aca="false">IFERROR(YEAR(A42),"")</f>
        <v>1899</v>
      </c>
      <c r="F42" s="13" t="n">
        <f aca="false">IFERROR(MONTH(A42),"")</f>
        <v>12</v>
      </c>
    </row>
    <row r="43" customFormat="false" ht="15" hidden="false" customHeight="false" outlineLevel="0" collapsed="false">
      <c r="A43" s="11"/>
      <c r="B43" s="10"/>
      <c r="C43" s="12"/>
      <c r="D43" s="10"/>
      <c r="E43" s="13" t="n">
        <f aca="false">IFERROR(YEAR(A43),"")</f>
        <v>1899</v>
      </c>
      <c r="F43" s="13" t="n">
        <f aca="false">IFERROR(MONTH(A43),"")</f>
        <v>12</v>
      </c>
    </row>
    <row r="44" customFormat="false" ht="15" hidden="false" customHeight="false" outlineLevel="0" collapsed="false">
      <c r="A44" s="11"/>
      <c r="B44" s="10"/>
      <c r="C44" s="12"/>
      <c r="D44" s="10"/>
      <c r="E44" s="13" t="n">
        <f aca="false">IFERROR(YEAR(A44),"")</f>
        <v>1899</v>
      </c>
      <c r="F44" s="13" t="n">
        <f aca="false">IFERROR(MONTH(A44),"")</f>
        <v>12</v>
      </c>
    </row>
    <row r="45" customFormat="false" ht="15" hidden="false" customHeight="false" outlineLevel="0" collapsed="false">
      <c r="A45" s="11"/>
      <c r="B45" s="10"/>
      <c r="C45" s="12"/>
      <c r="D45" s="10"/>
      <c r="E45" s="13" t="n">
        <f aca="false">IFERROR(YEAR(A45),"")</f>
        <v>1899</v>
      </c>
      <c r="F45" s="13" t="n">
        <f aca="false">IFERROR(MONTH(A45),"")</f>
        <v>12</v>
      </c>
    </row>
    <row r="46" customFormat="false" ht="15" hidden="false" customHeight="false" outlineLevel="0" collapsed="false">
      <c r="A46" s="11"/>
      <c r="B46" s="10"/>
      <c r="C46" s="12"/>
      <c r="D46" s="10"/>
      <c r="E46" s="13" t="n">
        <f aca="false">IFERROR(YEAR(A46),"")</f>
        <v>1899</v>
      </c>
      <c r="F46" s="13" t="n">
        <f aca="false">IFERROR(MONTH(A46),"")</f>
        <v>12</v>
      </c>
    </row>
    <row r="47" customFormat="false" ht="15" hidden="false" customHeight="false" outlineLevel="0" collapsed="false">
      <c r="A47" s="11"/>
      <c r="B47" s="10"/>
      <c r="C47" s="12"/>
      <c r="D47" s="10"/>
      <c r="E47" s="13" t="n">
        <f aca="false">IFERROR(YEAR(A47),"")</f>
        <v>1899</v>
      </c>
      <c r="F47" s="13" t="n">
        <f aca="false">IFERROR(MONTH(A47),"")</f>
        <v>12</v>
      </c>
    </row>
    <row r="48" customFormat="false" ht="15" hidden="false" customHeight="false" outlineLevel="0" collapsed="false">
      <c r="A48" s="11"/>
      <c r="B48" s="10"/>
      <c r="C48" s="12"/>
      <c r="D48" s="10"/>
      <c r="E48" s="13" t="n">
        <f aca="false">IFERROR(YEAR(A48),"")</f>
        <v>1899</v>
      </c>
      <c r="F48" s="13" t="n">
        <f aca="false">IFERROR(MONTH(A48),"")</f>
        <v>12</v>
      </c>
    </row>
    <row r="49" customFormat="false" ht="15" hidden="false" customHeight="false" outlineLevel="0" collapsed="false">
      <c r="A49" s="11"/>
      <c r="B49" s="10"/>
      <c r="C49" s="12"/>
      <c r="D49" s="10"/>
      <c r="E49" s="13" t="n">
        <f aca="false">IFERROR(YEAR(A49),"")</f>
        <v>1899</v>
      </c>
      <c r="F49" s="13" t="n">
        <f aca="false">IFERROR(MONTH(A49),"")</f>
        <v>12</v>
      </c>
    </row>
    <row r="50" customFormat="false" ht="15" hidden="false" customHeight="false" outlineLevel="0" collapsed="false">
      <c r="A50" s="11"/>
      <c r="B50" s="10"/>
      <c r="C50" s="12"/>
      <c r="D50" s="10"/>
      <c r="E50" s="13" t="n">
        <f aca="false">IFERROR(YEAR(A50),"")</f>
        <v>1899</v>
      </c>
      <c r="F50" s="13" t="n">
        <f aca="false">IFERROR(MONTH(A50),"")</f>
        <v>12</v>
      </c>
    </row>
    <row r="51" customFormat="false" ht="15" hidden="false" customHeight="false" outlineLevel="0" collapsed="false">
      <c r="A51" s="11"/>
      <c r="B51" s="10"/>
      <c r="C51" s="12"/>
      <c r="D51" s="10"/>
      <c r="E51" s="13" t="n">
        <f aca="false">IFERROR(YEAR(A51),"")</f>
        <v>1899</v>
      </c>
      <c r="F51" s="13" t="n">
        <f aca="false">IFERROR(MONTH(A51),"")</f>
        <v>12</v>
      </c>
    </row>
    <row r="52" customFormat="false" ht="15" hidden="false" customHeight="false" outlineLevel="0" collapsed="false">
      <c r="A52" s="11"/>
      <c r="B52" s="10"/>
      <c r="C52" s="12"/>
      <c r="D52" s="10"/>
      <c r="E52" s="13" t="n">
        <f aca="false">IFERROR(YEAR(A52),"")</f>
        <v>1899</v>
      </c>
      <c r="F52" s="13" t="n">
        <f aca="false">IFERROR(MONTH(A52),"")</f>
        <v>12</v>
      </c>
    </row>
    <row r="53" customFormat="false" ht="15" hidden="false" customHeight="false" outlineLevel="0" collapsed="false">
      <c r="A53" s="11"/>
      <c r="B53" s="10"/>
      <c r="C53" s="12"/>
      <c r="D53" s="10"/>
      <c r="E53" s="13" t="n">
        <f aca="false">IFERROR(YEAR(A53),"")</f>
        <v>1899</v>
      </c>
      <c r="F53" s="13" t="n">
        <f aca="false">IFERROR(MONTH(A53),"")</f>
        <v>12</v>
      </c>
    </row>
    <row r="54" customFormat="false" ht="15" hidden="false" customHeight="false" outlineLevel="0" collapsed="false">
      <c r="A54" s="11"/>
      <c r="B54" s="10"/>
      <c r="C54" s="12"/>
      <c r="D54" s="10"/>
      <c r="E54" s="13" t="n">
        <f aca="false">IFERROR(YEAR(A54),"")</f>
        <v>1899</v>
      </c>
      <c r="F54" s="13" t="n">
        <f aca="false">IFERROR(MONTH(A54),"")</f>
        <v>12</v>
      </c>
    </row>
    <row r="55" customFormat="false" ht="15" hidden="false" customHeight="false" outlineLevel="0" collapsed="false">
      <c r="A55" s="11"/>
      <c r="B55" s="10"/>
      <c r="C55" s="12"/>
      <c r="D55" s="10"/>
      <c r="E55" s="13" t="n">
        <f aca="false">IFERROR(YEAR(A55),"")</f>
        <v>1899</v>
      </c>
      <c r="F55" s="13" t="n">
        <f aca="false">IFERROR(MONTH(A55),"")</f>
        <v>12</v>
      </c>
    </row>
    <row r="56" customFormat="false" ht="15" hidden="false" customHeight="false" outlineLevel="0" collapsed="false">
      <c r="A56" s="11"/>
      <c r="B56" s="10"/>
      <c r="C56" s="12"/>
      <c r="D56" s="10"/>
      <c r="E56" s="13" t="n">
        <f aca="false">IFERROR(YEAR(A56),"")</f>
        <v>1899</v>
      </c>
      <c r="F56" s="13" t="n">
        <f aca="false">IFERROR(MONTH(A56),"")</f>
        <v>12</v>
      </c>
    </row>
    <row r="57" customFormat="false" ht="15" hidden="false" customHeight="false" outlineLevel="0" collapsed="false">
      <c r="A57" s="11"/>
      <c r="B57" s="10"/>
      <c r="C57" s="12"/>
      <c r="D57" s="10"/>
      <c r="E57" s="13" t="n">
        <f aca="false">IFERROR(YEAR(A57),"")</f>
        <v>1899</v>
      </c>
      <c r="F57" s="13" t="n">
        <f aca="false">IFERROR(MONTH(A57),"")</f>
        <v>12</v>
      </c>
    </row>
    <row r="58" customFormat="false" ht="15" hidden="false" customHeight="false" outlineLevel="0" collapsed="false">
      <c r="A58" s="11"/>
      <c r="B58" s="10"/>
      <c r="C58" s="12"/>
      <c r="D58" s="10"/>
      <c r="E58" s="13" t="n">
        <f aca="false">IFERROR(YEAR(A58),"")</f>
        <v>1899</v>
      </c>
      <c r="F58" s="13" t="n">
        <f aca="false">IFERROR(MONTH(A58),"")</f>
        <v>12</v>
      </c>
    </row>
    <row r="59" customFormat="false" ht="15" hidden="false" customHeight="false" outlineLevel="0" collapsed="false">
      <c r="A59" s="11"/>
      <c r="B59" s="10"/>
      <c r="C59" s="12"/>
      <c r="D59" s="10"/>
      <c r="E59" s="13" t="n">
        <f aca="false">IFERROR(YEAR(A59),"")</f>
        <v>1899</v>
      </c>
      <c r="F59" s="13" t="n">
        <f aca="false">IFERROR(MONTH(A59),"")</f>
        <v>12</v>
      </c>
    </row>
    <row r="60" customFormat="false" ht="15" hidden="false" customHeight="false" outlineLevel="0" collapsed="false">
      <c r="A60" s="11"/>
      <c r="B60" s="10"/>
      <c r="C60" s="12"/>
      <c r="D60" s="10"/>
      <c r="E60" s="13" t="n">
        <f aca="false">IFERROR(YEAR(A60),"")</f>
        <v>1899</v>
      </c>
      <c r="F60" s="13" t="n">
        <f aca="false">IFERROR(MONTH(A60),"")</f>
        <v>12</v>
      </c>
    </row>
    <row r="61" customFormat="false" ht="15" hidden="false" customHeight="false" outlineLevel="0" collapsed="false">
      <c r="A61" s="11"/>
      <c r="B61" s="10"/>
      <c r="C61" s="12"/>
      <c r="D61" s="10"/>
      <c r="E61" s="13" t="n">
        <f aca="false">IFERROR(YEAR(A61),"")</f>
        <v>1899</v>
      </c>
      <c r="F61" s="13" t="n">
        <f aca="false">IFERROR(MONTH(A61),"")</f>
        <v>12</v>
      </c>
    </row>
    <row r="62" customFormat="false" ht="15" hidden="false" customHeight="false" outlineLevel="0" collapsed="false">
      <c r="A62" s="11"/>
      <c r="B62" s="10"/>
      <c r="C62" s="12"/>
      <c r="D62" s="10"/>
      <c r="E62" s="13" t="n">
        <f aca="false">IFERROR(YEAR(A62),"")</f>
        <v>1899</v>
      </c>
      <c r="F62" s="13" t="n">
        <f aca="false">IFERROR(MONTH(A62),"")</f>
        <v>12</v>
      </c>
    </row>
    <row r="63" customFormat="false" ht="15" hidden="false" customHeight="false" outlineLevel="0" collapsed="false">
      <c r="A63" s="11"/>
      <c r="B63" s="10"/>
      <c r="C63" s="12"/>
      <c r="D63" s="10"/>
      <c r="E63" s="13" t="n">
        <f aca="false">IFERROR(YEAR(A63),"")</f>
        <v>1899</v>
      </c>
      <c r="F63" s="13" t="n">
        <f aca="false">IFERROR(MONTH(A63),"")</f>
        <v>12</v>
      </c>
    </row>
    <row r="64" customFormat="false" ht="15" hidden="false" customHeight="false" outlineLevel="0" collapsed="false">
      <c r="A64" s="11"/>
      <c r="B64" s="10"/>
      <c r="C64" s="12"/>
      <c r="D64" s="10"/>
      <c r="E64" s="13" t="n">
        <f aca="false">IFERROR(YEAR(A64),"")</f>
        <v>1899</v>
      </c>
      <c r="F64" s="13" t="n">
        <f aca="false">IFERROR(MONTH(A64),"")</f>
        <v>12</v>
      </c>
    </row>
    <row r="65" customFormat="false" ht="15" hidden="false" customHeight="false" outlineLevel="0" collapsed="false">
      <c r="A65" s="11"/>
      <c r="B65" s="10"/>
      <c r="C65" s="12"/>
      <c r="D65" s="10"/>
      <c r="E65" s="13" t="n">
        <f aca="false">IFERROR(YEAR(A65),"")</f>
        <v>1899</v>
      </c>
      <c r="F65" s="13" t="n">
        <f aca="false">IFERROR(MONTH(A65),"")</f>
        <v>12</v>
      </c>
    </row>
    <row r="66" customFormat="false" ht="15" hidden="false" customHeight="false" outlineLevel="0" collapsed="false">
      <c r="A66" s="11"/>
      <c r="B66" s="10"/>
      <c r="C66" s="12"/>
      <c r="D66" s="10"/>
      <c r="E66" s="13" t="n">
        <f aca="false">IFERROR(YEAR(A66),"")</f>
        <v>1899</v>
      </c>
      <c r="F66" s="13" t="n">
        <f aca="false">IFERROR(MONTH(A66),"")</f>
        <v>12</v>
      </c>
    </row>
    <row r="67" customFormat="false" ht="15" hidden="false" customHeight="false" outlineLevel="0" collapsed="false">
      <c r="A67" s="11"/>
      <c r="B67" s="10"/>
      <c r="C67" s="12"/>
      <c r="D67" s="10"/>
      <c r="E67" s="13" t="n">
        <f aca="false">IFERROR(YEAR(A67),"")</f>
        <v>1899</v>
      </c>
      <c r="F67" s="13" t="n">
        <f aca="false">IFERROR(MONTH(A67),"")</f>
        <v>12</v>
      </c>
    </row>
    <row r="68" customFormat="false" ht="15" hidden="false" customHeight="false" outlineLevel="0" collapsed="false">
      <c r="A68" s="11"/>
      <c r="B68" s="10"/>
      <c r="C68" s="12"/>
      <c r="D68" s="10"/>
      <c r="E68" s="13" t="n">
        <f aca="false">IFERROR(YEAR(A68),"")</f>
        <v>1899</v>
      </c>
      <c r="F68" s="13" t="n">
        <f aca="false">IFERROR(MONTH(A68),"")</f>
        <v>12</v>
      </c>
    </row>
    <row r="69" customFormat="false" ht="15" hidden="false" customHeight="false" outlineLevel="0" collapsed="false">
      <c r="A69" s="11"/>
      <c r="B69" s="10"/>
      <c r="C69" s="12"/>
      <c r="D69" s="10"/>
      <c r="E69" s="13" t="n">
        <f aca="false">IFERROR(YEAR(A69),"")</f>
        <v>1899</v>
      </c>
      <c r="F69" s="13" t="n">
        <f aca="false">IFERROR(MONTH(A69),"")</f>
        <v>12</v>
      </c>
    </row>
    <row r="70" customFormat="false" ht="15" hidden="false" customHeight="false" outlineLevel="0" collapsed="false">
      <c r="A70" s="11"/>
      <c r="B70" s="10"/>
      <c r="C70" s="12"/>
      <c r="D70" s="10"/>
      <c r="E70" s="13" t="n">
        <f aca="false">IFERROR(YEAR(A70),"")</f>
        <v>1899</v>
      </c>
      <c r="F70" s="13" t="n">
        <f aca="false">IFERROR(MONTH(A70),"")</f>
        <v>12</v>
      </c>
    </row>
    <row r="71" customFormat="false" ht="15" hidden="false" customHeight="false" outlineLevel="0" collapsed="false">
      <c r="A71" s="11"/>
      <c r="B71" s="10"/>
      <c r="C71" s="12"/>
      <c r="D71" s="10"/>
      <c r="E71" s="13" t="n">
        <f aca="false">IFERROR(YEAR(A71),"")</f>
        <v>1899</v>
      </c>
      <c r="F71" s="13" t="n">
        <f aca="false">IFERROR(MONTH(A71),"")</f>
        <v>12</v>
      </c>
    </row>
    <row r="72" customFormat="false" ht="15" hidden="false" customHeight="false" outlineLevel="0" collapsed="false">
      <c r="A72" s="11"/>
      <c r="B72" s="10"/>
      <c r="C72" s="12"/>
      <c r="D72" s="10"/>
      <c r="E72" s="13" t="n">
        <f aca="false">IFERROR(YEAR(A72),"")</f>
        <v>1899</v>
      </c>
      <c r="F72" s="13" t="n">
        <f aca="false">IFERROR(MONTH(A72),"")</f>
        <v>12</v>
      </c>
    </row>
    <row r="73" customFormat="false" ht="15" hidden="false" customHeight="false" outlineLevel="0" collapsed="false">
      <c r="A73" s="11"/>
      <c r="B73" s="10"/>
      <c r="C73" s="12"/>
      <c r="D73" s="10"/>
      <c r="E73" s="13" t="n">
        <f aca="false">IFERROR(YEAR(A73),"")</f>
        <v>1899</v>
      </c>
      <c r="F73" s="13" t="n">
        <f aca="false">IFERROR(MONTH(A73),"")</f>
        <v>12</v>
      </c>
    </row>
    <row r="74" customFormat="false" ht="15" hidden="false" customHeight="false" outlineLevel="0" collapsed="false">
      <c r="A74" s="11"/>
      <c r="B74" s="10"/>
      <c r="C74" s="12"/>
      <c r="D74" s="10"/>
      <c r="E74" s="13" t="n">
        <f aca="false">IFERROR(YEAR(A74),"")</f>
        <v>1899</v>
      </c>
      <c r="F74" s="13" t="n">
        <f aca="false">IFERROR(MONTH(A74),"")</f>
        <v>12</v>
      </c>
    </row>
    <row r="75" customFormat="false" ht="15" hidden="false" customHeight="false" outlineLevel="0" collapsed="false">
      <c r="A75" s="11"/>
      <c r="B75" s="10"/>
      <c r="C75" s="12"/>
      <c r="D75" s="10"/>
      <c r="E75" s="13" t="n">
        <f aca="false">IFERROR(YEAR(A75),"")</f>
        <v>1899</v>
      </c>
      <c r="F75" s="13" t="n">
        <f aca="false">IFERROR(MONTH(A75),"")</f>
        <v>12</v>
      </c>
    </row>
    <row r="76" customFormat="false" ht="15" hidden="false" customHeight="false" outlineLevel="0" collapsed="false">
      <c r="A76" s="11"/>
      <c r="B76" s="10"/>
      <c r="C76" s="12"/>
      <c r="D76" s="10"/>
      <c r="E76" s="13" t="n">
        <f aca="false">IFERROR(YEAR(A76),"")</f>
        <v>1899</v>
      </c>
      <c r="F76" s="13" t="n">
        <f aca="false">IFERROR(MONTH(A76),"")</f>
        <v>12</v>
      </c>
    </row>
    <row r="77" customFormat="false" ht="15" hidden="false" customHeight="false" outlineLevel="0" collapsed="false">
      <c r="A77" s="11"/>
      <c r="B77" s="10"/>
      <c r="C77" s="12"/>
      <c r="D77" s="10"/>
      <c r="E77" s="13" t="n">
        <f aca="false">IFERROR(YEAR(A77),"")</f>
        <v>1899</v>
      </c>
      <c r="F77" s="13" t="n">
        <f aca="false">IFERROR(MONTH(A77),"")</f>
        <v>12</v>
      </c>
    </row>
    <row r="78" customFormat="false" ht="15" hidden="false" customHeight="false" outlineLevel="0" collapsed="false">
      <c r="A78" s="11"/>
      <c r="B78" s="10"/>
      <c r="C78" s="12"/>
      <c r="D78" s="10"/>
      <c r="E78" s="13" t="n">
        <f aca="false">IFERROR(YEAR(A78),"")</f>
        <v>1899</v>
      </c>
      <c r="F78" s="13" t="n">
        <f aca="false">IFERROR(MONTH(A78),"")</f>
        <v>12</v>
      </c>
    </row>
    <row r="79" customFormat="false" ht="15" hidden="false" customHeight="false" outlineLevel="0" collapsed="false">
      <c r="A79" s="11"/>
      <c r="B79" s="10"/>
      <c r="C79" s="12"/>
      <c r="D79" s="10"/>
      <c r="E79" s="13" t="n">
        <f aca="false">IFERROR(YEAR(A79),"")</f>
        <v>1899</v>
      </c>
      <c r="F79" s="13" t="n">
        <f aca="false">IFERROR(MONTH(A79),"")</f>
        <v>12</v>
      </c>
    </row>
    <row r="80" customFormat="false" ht="15" hidden="false" customHeight="false" outlineLevel="0" collapsed="false">
      <c r="A80" s="11"/>
      <c r="B80" s="10"/>
      <c r="C80" s="12"/>
      <c r="D80" s="10"/>
      <c r="E80" s="13" t="n">
        <f aca="false">IFERROR(YEAR(A80),"")</f>
        <v>1899</v>
      </c>
      <c r="F80" s="13" t="n">
        <f aca="false">IFERROR(MONTH(A80),"")</f>
        <v>12</v>
      </c>
    </row>
    <row r="81" customFormat="false" ht="15" hidden="false" customHeight="false" outlineLevel="0" collapsed="false">
      <c r="A81" s="11"/>
      <c r="B81" s="10"/>
      <c r="C81" s="12"/>
      <c r="D81" s="10"/>
      <c r="E81" s="13" t="n">
        <f aca="false">IFERROR(YEAR(A81),"")</f>
        <v>1899</v>
      </c>
      <c r="F81" s="13" t="n">
        <f aca="false">IFERROR(MONTH(A81),"")</f>
        <v>12</v>
      </c>
    </row>
    <row r="82" customFormat="false" ht="15" hidden="false" customHeight="false" outlineLevel="0" collapsed="false">
      <c r="A82" s="11"/>
      <c r="B82" s="10"/>
      <c r="C82" s="12"/>
      <c r="D82" s="10"/>
      <c r="E82" s="13" t="n">
        <f aca="false">IFERROR(YEAR(A82),"")</f>
        <v>1899</v>
      </c>
      <c r="F82" s="13" t="n">
        <f aca="false">IFERROR(MONTH(A82),"")</f>
        <v>12</v>
      </c>
    </row>
    <row r="83" customFormat="false" ht="15" hidden="false" customHeight="false" outlineLevel="0" collapsed="false">
      <c r="A83" s="11"/>
      <c r="B83" s="10"/>
      <c r="C83" s="12"/>
      <c r="D83" s="10"/>
      <c r="E83" s="13" t="n">
        <f aca="false">IFERROR(YEAR(A83),"")</f>
        <v>1899</v>
      </c>
      <c r="F83" s="13" t="n">
        <f aca="false">IFERROR(MONTH(A83),"")</f>
        <v>12</v>
      </c>
    </row>
    <row r="84" customFormat="false" ht="15" hidden="false" customHeight="false" outlineLevel="0" collapsed="false">
      <c r="A84" s="11"/>
      <c r="B84" s="10"/>
      <c r="C84" s="12"/>
      <c r="D84" s="10"/>
      <c r="E84" s="13" t="n">
        <f aca="false">IFERROR(YEAR(A84),"")</f>
        <v>1899</v>
      </c>
      <c r="F84" s="13" t="n">
        <f aca="false">IFERROR(MONTH(A84),"")</f>
        <v>12</v>
      </c>
    </row>
    <row r="85" customFormat="false" ht="15" hidden="false" customHeight="false" outlineLevel="0" collapsed="false">
      <c r="A85" s="11"/>
      <c r="B85" s="10"/>
      <c r="C85" s="12"/>
      <c r="D85" s="10"/>
      <c r="E85" s="13" t="n">
        <f aca="false">IFERROR(YEAR(A85),"")</f>
        <v>1899</v>
      </c>
      <c r="F85" s="13" t="n">
        <f aca="false">IFERROR(MONTH(A85),"")</f>
        <v>12</v>
      </c>
    </row>
    <row r="86" customFormat="false" ht="15" hidden="false" customHeight="false" outlineLevel="0" collapsed="false">
      <c r="A86" s="11"/>
      <c r="B86" s="10"/>
      <c r="C86" s="12"/>
      <c r="D86" s="10"/>
      <c r="E86" s="13" t="n">
        <f aca="false">IFERROR(YEAR(A86),"")</f>
        <v>1899</v>
      </c>
      <c r="F86" s="13" t="n">
        <f aca="false">IFERROR(MONTH(A86),"")</f>
        <v>12</v>
      </c>
    </row>
    <row r="87" customFormat="false" ht="15" hidden="false" customHeight="false" outlineLevel="0" collapsed="false">
      <c r="A87" s="11"/>
      <c r="B87" s="10"/>
      <c r="C87" s="12"/>
      <c r="D87" s="10"/>
      <c r="E87" s="13" t="n">
        <f aca="false">IFERROR(YEAR(A87),"")</f>
        <v>1899</v>
      </c>
      <c r="F87" s="13" t="n">
        <f aca="false">IFERROR(MONTH(A87),"")</f>
        <v>12</v>
      </c>
    </row>
    <row r="88" customFormat="false" ht="15" hidden="false" customHeight="false" outlineLevel="0" collapsed="false">
      <c r="A88" s="11"/>
      <c r="B88" s="10"/>
      <c r="C88" s="12"/>
      <c r="D88" s="10"/>
      <c r="E88" s="13" t="n">
        <f aca="false">IFERROR(YEAR(A88),"")</f>
        <v>1899</v>
      </c>
      <c r="F88" s="13" t="n">
        <f aca="false">IFERROR(MONTH(A88),"")</f>
        <v>12</v>
      </c>
    </row>
    <row r="89" customFormat="false" ht="15" hidden="false" customHeight="false" outlineLevel="0" collapsed="false">
      <c r="A89" s="11"/>
      <c r="B89" s="10"/>
      <c r="C89" s="12"/>
      <c r="D89" s="10"/>
      <c r="E89" s="13" t="n">
        <f aca="false">IFERROR(YEAR(A89),"")</f>
        <v>1899</v>
      </c>
      <c r="F89" s="13" t="n">
        <f aca="false">IFERROR(MONTH(A89),"")</f>
        <v>12</v>
      </c>
    </row>
    <row r="90" customFormat="false" ht="15" hidden="false" customHeight="false" outlineLevel="0" collapsed="false">
      <c r="A90" s="11"/>
      <c r="B90" s="10"/>
      <c r="C90" s="12"/>
      <c r="D90" s="10"/>
      <c r="E90" s="13" t="n">
        <f aca="false">IFERROR(YEAR(A90),"")</f>
        <v>1899</v>
      </c>
      <c r="F90" s="13" t="n">
        <f aca="false">IFERROR(MONTH(A90),"")</f>
        <v>12</v>
      </c>
    </row>
    <row r="91" customFormat="false" ht="15" hidden="false" customHeight="false" outlineLevel="0" collapsed="false">
      <c r="A91" s="11"/>
      <c r="B91" s="10"/>
      <c r="C91" s="12"/>
      <c r="D91" s="10"/>
      <c r="E91" s="13" t="n">
        <f aca="false">IFERROR(YEAR(A91),"")</f>
        <v>1899</v>
      </c>
      <c r="F91" s="13" t="n">
        <f aca="false">IFERROR(MONTH(A91),"")</f>
        <v>12</v>
      </c>
    </row>
    <row r="92" customFormat="false" ht="15" hidden="false" customHeight="false" outlineLevel="0" collapsed="false">
      <c r="A92" s="11"/>
      <c r="B92" s="10"/>
      <c r="C92" s="12"/>
      <c r="D92" s="10"/>
      <c r="E92" s="13" t="n">
        <f aca="false">IFERROR(YEAR(A92),"")</f>
        <v>1899</v>
      </c>
      <c r="F92" s="13" t="n">
        <f aca="false">IFERROR(MONTH(A92),"")</f>
        <v>12</v>
      </c>
    </row>
    <row r="93" customFormat="false" ht="15" hidden="false" customHeight="false" outlineLevel="0" collapsed="false">
      <c r="A93" s="11"/>
      <c r="B93" s="10"/>
      <c r="C93" s="12"/>
      <c r="D93" s="10"/>
      <c r="E93" s="13" t="n">
        <f aca="false">IFERROR(YEAR(A93),"")</f>
        <v>1899</v>
      </c>
      <c r="F93" s="13" t="n">
        <f aca="false">IFERROR(MONTH(A93),"")</f>
        <v>12</v>
      </c>
    </row>
    <row r="94" customFormat="false" ht="15" hidden="false" customHeight="false" outlineLevel="0" collapsed="false">
      <c r="A94" s="11"/>
      <c r="B94" s="10"/>
      <c r="C94" s="12"/>
      <c r="D94" s="10"/>
      <c r="E94" s="13" t="n">
        <f aca="false">IFERROR(YEAR(A94),"")</f>
        <v>1899</v>
      </c>
      <c r="F94" s="13" t="n">
        <f aca="false">IFERROR(MONTH(A94),"")</f>
        <v>12</v>
      </c>
    </row>
    <row r="95" customFormat="false" ht="15" hidden="false" customHeight="false" outlineLevel="0" collapsed="false">
      <c r="A95" s="11"/>
      <c r="B95" s="10"/>
      <c r="C95" s="12"/>
      <c r="D95" s="10"/>
      <c r="E95" s="13" t="n">
        <f aca="false">IFERROR(YEAR(A95),"")</f>
        <v>1899</v>
      </c>
      <c r="F95" s="13" t="n">
        <f aca="false">IFERROR(MONTH(A95),"")</f>
        <v>12</v>
      </c>
    </row>
    <row r="96" customFormat="false" ht="15" hidden="false" customHeight="false" outlineLevel="0" collapsed="false">
      <c r="A96" s="11"/>
      <c r="B96" s="10"/>
      <c r="C96" s="12"/>
      <c r="D96" s="10"/>
      <c r="E96" s="13" t="n">
        <f aca="false">IFERROR(YEAR(A96),"")</f>
        <v>1899</v>
      </c>
      <c r="F96" s="13" t="n">
        <f aca="false">IFERROR(MONTH(A96),"")</f>
        <v>12</v>
      </c>
    </row>
    <row r="97" customFormat="false" ht="15" hidden="false" customHeight="false" outlineLevel="0" collapsed="false">
      <c r="A97" s="11"/>
      <c r="B97" s="10"/>
      <c r="C97" s="12"/>
      <c r="D97" s="10"/>
      <c r="E97" s="13" t="n">
        <f aca="false">IFERROR(YEAR(A97),"")</f>
        <v>1899</v>
      </c>
      <c r="F97" s="13" t="n">
        <f aca="false">IFERROR(MONTH(A97),"")</f>
        <v>12</v>
      </c>
    </row>
    <row r="98" customFormat="false" ht="15" hidden="false" customHeight="false" outlineLevel="0" collapsed="false">
      <c r="A98" s="11"/>
      <c r="B98" s="10"/>
      <c r="C98" s="12"/>
      <c r="D98" s="10"/>
      <c r="E98" s="13" t="n">
        <f aca="false">IFERROR(YEAR(A98),"")</f>
        <v>1899</v>
      </c>
      <c r="F98" s="13" t="n">
        <f aca="false">IFERROR(MONTH(A98),"")</f>
        <v>12</v>
      </c>
    </row>
    <row r="99" customFormat="false" ht="15" hidden="false" customHeight="false" outlineLevel="0" collapsed="false">
      <c r="A99" s="11"/>
      <c r="B99" s="10"/>
      <c r="C99" s="12"/>
      <c r="D99" s="10"/>
      <c r="E99" s="13" t="n">
        <f aca="false">IFERROR(YEAR(A99),"")</f>
        <v>1899</v>
      </c>
      <c r="F99" s="13" t="n">
        <f aca="false">IFERROR(MONTH(A99),"")</f>
        <v>12</v>
      </c>
    </row>
    <row r="100" customFormat="false" ht="15" hidden="false" customHeight="false" outlineLevel="0" collapsed="false">
      <c r="A100" s="11"/>
      <c r="B100" s="10"/>
      <c r="C100" s="12"/>
      <c r="D100" s="10"/>
      <c r="E100" s="13" t="n">
        <f aca="false">IFERROR(YEAR(A100),"")</f>
        <v>1899</v>
      </c>
      <c r="F100" s="13" t="n">
        <f aca="false">IFERROR(MONTH(A100),"")</f>
        <v>12</v>
      </c>
    </row>
    <row r="101" customFormat="false" ht="15" hidden="false" customHeight="false" outlineLevel="0" collapsed="false">
      <c r="A101" s="11"/>
      <c r="B101" s="10"/>
      <c r="C101" s="12"/>
      <c r="D101" s="10"/>
      <c r="E101" s="13" t="n">
        <f aca="false">IFERROR(YEAR(A101),"")</f>
        <v>1899</v>
      </c>
      <c r="F101" s="13" t="n">
        <f aca="false">IFERROR(MONTH(A101),"")</f>
        <v>12</v>
      </c>
    </row>
    <row r="102" customFormat="false" ht="15" hidden="false" customHeight="false" outlineLevel="0" collapsed="false">
      <c r="A102" s="11"/>
      <c r="B102" s="10"/>
      <c r="C102" s="12"/>
      <c r="D102" s="10"/>
      <c r="E102" s="13" t="n">
        <f aca="false">IFERROR(YEAR(A102),"")</f>
        <v>1899</v>
      </c>
      <c r="F102" s="13" t="n">
        <f aca="false">IFERROR(MONTH(A102),"")</f>
        <v>12</v>
      </c>
    </row>
    <row r="103" customFormat="false" ht="15" hidden="false" customHeight="false" outlineLevel="0" collapsed="false">
      <c r="A103" s="11"/>
      <c r="B103" s="10"/>
      <c r="C103" s="12"/>
      <c r="D103" s="10"/>
      <c r="E103" s="13" t="n">
        <f aca="false">IFERROR(YEAR(A103),"")</f>
        <v>1899</v>
      </c>
      <c r="F103" s="13" t="n">
        <f aca="false">IFERROR(MONTH(A103),"")</f>
        <v>12</v>
      </c>
    </row>
    <row r="104" customFormat="false" ht="15" hidden="false" customHeight="false" outlineLevel="0" collapsed="false">
      <c r="A104" s="11"/>
      <c r="B104" s="10"/>
      <c r="C104" s="12"/>
      <c r="D104" s="10"/>
      <c r="E104" s="13" t="n">
        <f aca="false">IFERROR(YEAR(A104),"")</f>
        <v>1899</v>
      </c>
      <c r="F104" s="13" t="n">
        <f aca="false">IFERROR(MONTH(A104),"")</f>
        <v>12</v>
      </c>
    </row>
    <row r="105" customFormat="false" ht="15" hidden="false" customHeight="false" outlineLevel="0" collapsed="false">
      <c r="A105" s="11"/>
      <c r="B105" s="10"/>
      <c r="C105" s="12"/>
      <c r="D105" s="10"/>
      <c r="E105" s="13" t="n">
        <f aca="false">IFERROR(YEAR(A105),"")</f>
        <v>1899</v>
      </c>
      <c r="F105" s="13" t="n">
        <f aca="false">IFERROR(MONTH(A105),"")</f>
        <v>12</v>
      </c>
    </row>
    <row r="106" customFormat="false" ht="15" hidden="false" customHeight="false" outlineLevel="0" collapsed="false">
      <c r="A106" s="11"/>
      <c r="B106" s="10"/>
      <c r="C106" s="12"/>
      <c r="D106" s="10"/>
      <c r="E106" s="13" t="n">
        <f aca="false">IFERROR(YEAR(A106),"")</f>
        <v>1899</v>
      </c>
      <c r="F106" s="13" t="n">
        <f aca="false">IFERROR(MONTH(A106),"")</f>
        <v>12</v>
      </c>
    </row>
    <row r="107" customFormat="false" ht="15" hidden="false" customHeight="false" outlineLevel="0" collapsed="false">
      <c r="A107" s="11"/>
      <c r="B107" s="10"/>
      <c r="C107" s="12"/>
      <c r="D107" s="10"/>
      <c r="E107" s="13" t="n">
        <f aca="false">IFERROR(YEAR(A107),"")</f>
        <v>1899</v>
      </c>
      <c r="F107" s="13" t="n">
        <f aca="false">IFERROR(MONTH(A107),"")</f>
        <v>12</v>
      </c>
    </row>
    <row r="108" customFormat="false" ht="15" hidden="false" customHeight="false" outlineLevel="0" collapsed="false">
      <c r="A108" s="11"/>
      <c r="B108" s="10"/>
      <c r="C108" s="12"/>
      <c r="D108" s="10"/>
      <c r="E108" s="13" t="n">
        <f aca="false">IFERROR(YEAR(A108),"")</f>
        <v>1899</v>
      </c>
      <c r="F108" s="13" t="n">
        <f aca="false">IFERROR(MONTH(A108),"")</f>
        <v>12</v>
      </c>
    </row>
    <row r="109" customFormat="false" ht="15" hidden="false" customHeight="false" outlineLevel="0" collapsed="false">
      <c r="A109" s="11"/>
      <c r="B109" s="10"/>
      <c r="C109" s="12"/>
      <c r="D109" s="10"/>
      <c r="E109" s="13" t="n">
        <f aca="false">IFERROR(YEAR(A109),"")</f>
        <v>1899</v>
      </c>
      <c r="F109" s="13" t="n">
        <f aca="false">IFERROR(MONTH(A109),"")</f>
        <v>12</v>
      </c>
    </row>
    <row r="110" customFormat="false" ht="15" hidden="false" customHeight="false" outlineLevel="0" collapsed="false">
      <c r="A110" s="11"/>
      <c r="B110" s="10"/>
      <c r="C110" s="12"/>
      <c r="D110" s="10"/>
      <c r="E110" s="13" t="n">
        <f aca="false">IFERROR(YEAR(A110),"")</f>
        <v>1899</v>
      </c>
      <c r="F110" s="13" t="n">
        <f aca="false">IFERROR(MONTH(A110),"")</f>
        <v>12</v>
      </c>
    </row>
    <row r="111" customFormat="false" ht="15" hidden="false" customHeight="false" outlineLevel="0" collapsed="false">
      <c r="A111" s="11"/>
      <c r="B111" s="10"/>
      <c r="C111" s="12"/>
      <c r="D111" s="10"/>
      <c r="E111" s="13" t="n">
        <f aca="false">IFERROR(YEAR(A111),"")</f>
        <v>1899</v>
      </c>
      <c r="F111" s="13" t="n">
        <f aca="false">IFERROR(MONTH(A111),"")</f>
        <v>12</v>
      </c>
    </row>
    <row r="112" customFormat="false" ht="15" hidden="false" customHeight="false" outlineLevel="0" collapsed="false">
      <c r="A112" s="11"/>
      <c r="B112" s="10"/>
      <c r="C112" s="12"/>
      <c r="D112" s="10"/>
      <c r="E112" s="13" t="n">
        <f aca="false">IFERROR(YEAR(A112),"")</f>
        <v>1899</v>
      </c>
      <c r="F112" s="13" t="n">
        <f aca="false">IFERROR(MONTH(A112),"")</f>
        <v>12</v>
      </c>
    </row>
    <row r="113" customFormat="false" ht="15" hidden="false" customHeight="false" outlineLevel="0" collapsed="false">
      <c r="A113" s="11"/>
      <c r="B113" s="10"/>
      <c r="C113" s="12"/>
      <c r="D113" s="10"/>
      <c r="E113" s="13" t="n">
        <f aca="false">IFERROR(YEAR(A113),"")</f>
        <v>1899</v>
      </c>
      <c r="F113" s="13" t="n">
        <f aca="false">IFERROR(MONTH(A113),"")</f>
        <v>12</v>
      </c>
    </row>
    <row r="114" customFormat="false" ht="15" hidden="false" customHeight="false" outlineLevel="0" collapsed="false">
      <c r="A114" s="11"/>
      <c r="B114" s="10"/>
      <c r="C114" s="12"/>
      <c r="D114" s="10"/>
      <c r="E114" s="13" t="n">
        <f aca="false">IFERROR(YEAR(A114),"")</f>
        <v>1899</v>
      </c>
      <c r="F114" s="13" t="n">
        <f aca="false">IFERROR(MONTH(A114),"")</f>
        <v>12</v>
      </c>
    </row>
    <row r="115" customFormat="false" ht="15" hidden="false" customHeight="false" outlineLevel="0" collapsed="false">
      <c r="A115" s="11"/>
      <c r="B115" s="10"/>
      <c r="C115" s="12"/>
      <c r="D115" s="10"/>
      <c r="E115" s="13" t="n">
        <f aca="false">IFERROR(YEAR(A115),"")</f>
        <v>1899</v>
      </c>
      <c r="F115" s="13" t="n">
        <f aca="false">IFERROR(MONTH(A115),"")</f>
        <v>12</v>
      </c>
    </row>
    <row r="116" customFormat="false" ht="15" hidden="false" customHeight="false" outlineLevel="0" collapsed="false">
      <c r="A116" s="11"/>
      <c r="B116" s="10"/>
      <c r="C116" s="12"/>
      <c r="D116" s="10"/>
      <c r="E116" s="13" t="n">
        <f aca="false">IFERROR(YEAR(A116),"")</f>
        <v>1899</v>
      </c>
      <c r="F116" s="13" t="n">
        <f aca="false">IFERROR(MONTH(A116),"")</f>
        <v>12</v>
      </c>
    </row>
    <row r="117" customFormat="false" ht="15" hidden="false" customHeight="false" outlineLevel="0" collapsed="false">
      <c r="A117" s="11"/>
      <c r="B117" s="10"/>
      <c r="C117" s="12"/>
      <c r="D117" s="10"/>
      <c r="E117" s="13" t="n">
        <f aca="false">IFERROR(YEAR(A117),"")</f>
        <v>1899</v>
      </c>
      <c r="F117" s="13" t="n">
        <f aca="false">IFERROR(MONTH(A117),"")</f>
        <v>12</v>
      </c>
    </row>
    <row r="118" customFormat="false" ht="15" hidden="false" customHeight="false" outlineLevel="0" collapsed="false">
      <c r="A118" s="11"/>
      <c r="B118" s="10"/>
      <c r="C118" s="12"/>
      <c r="D118" s="10"/>
      <c r="E118" s="13" t="n">
        <f aca="false">IFERROR(YEAR(A118),"")</f>
        <v>1899</v>
      </c>
      <c r="F118" s="13" t="n">
        <f aca="false">IFERROR(MONTH(A118),"")</f>
        <v>12</v>
      </c>
    </row>
    <row r="119" customFormat="false" ht="15" hidden="false" customHeight="false" outlineLevel="0" collapsed="false">
      <c r="A119" s="11"/>
      <c r="B119" s="10"/>
      <c r="C119" s="12"/>
      <c r="D119" s="10"/>
      <c r="E119" s="13" t="n">
        <f aca="false">IFERROR(YEAR(A119),"")</f>
        <v>1899</v>
      </c>
      <c r="F119" s="13" t="n">
        <f aca="false">IFERROR(MONTH(A119),"")</f>
        <v>12</v>
      </c>
    </row>
    <row r="120" customFormat="false" ht="15" hidden="false" customHeight="false" outlineLevel="0" collapsed="false">
      <c r="A120" s="11"/>
      <c r="B120" s="10"/>
      <c r="C120" s="12"/>
      <c r="D120" s="10"/>
      <c r="E120" s="13" t="n">
        <f aca="false">IFERROR(YEAR(A120),"")</f>
        <v>1899</v>
      </c>
      <c r="F120" s="13" t="n">
        <f aca="false">IFERROR(MONTH(A120),"")</f>
        <v>12</v>
      </c>
    </row>
    <row r="121" customFormat="false" ht="15" hidden="false" customHeight="false" outlineLevel="0" collapsed="false">
      <c r="A121" s="11"/>
      <c r="B121" s="10"/>
      <c r="C121" s="12"/>
      <c r="D121" s="10"/>
      <c r="E121" s="13" t="n">
        <f aca="false">IFERROR(YEAR(A121),"")</f>
        <v>1899</v>
      </c>
      <c r="F121" s="13" t="n">
        <f aca="false">IFERROR(MONTH(A121),"")</f>
        <v>12</v>
      </c>
    </row>
    <row r="122" customFormat="false" ht="15" hidden="false" customHeight="false" outlineLevel="0" collapsed="false">
      <c r="A122" s="11"/>
      <c r="B122" s="10"/>
      <c r="C122" s="12"/>
      <c r="D122" s="10"/>
      <c r="E122" s="13" t="n">
        <f aca="false">IFERROR(YEAR(A122),"")</f>
        <v>1899</v>
      </c>
      <c r="F122" s="13" t="n">
        <f aca="false">IFERROR(MONTH(A122),"")</f>
        <v>12</v>
      </c>
    </row>
    <row r="123" customFormat="false" ht="15" hidden="false" customHeight="false" outlineLevel="0" collapsed="false">
      <c r="A123" s="11"/>
      <c r="B123" s="10"/>
      <c r="C123" s="12"/>
      <c r="D123" s="10"/>
      <c r="E123" s="13" t="n">
        <f aca="false">IFERROR(YEAR(A123),"")</f>
        <v>1899</v>
      </c>
      <c r="F123" s="13" t="n">
        <f aca="false">IFERROR(MONTH(A123),"")</f>
        <v>12</v>
      </c>
    </row>
    <row r="124" customFormat="false" ht="15" hidden="false" customHeight="false" outlineLevel="0" collapsed="false">
      <c r="A124" s="11"/>
      <c r="B124" s="10"/>
      <c r="C124" s="12"/>
      <c r="D124" s="10"/>
      <c r="E124" s="13" t="n">
        <f aca="false">IFERROR(YEAR(A124),"")</f>
        <v>1899</v>
      </c>
      <c r="F124" s="13" t="n">
        <f aca="false">IFERROR(MONTH(A124),"")</f>
        <v>12</v>
      </c>
    </row>
    <row r="125" customFormat="false" ht="15" hidden="false" customHeight="false" outlineLevel="0" collapsed="false">
      <c r="A125" s="11"/>
      <c r="B125" s="10"/>
      <c r="C125" s="12"/>
      <c r="D125" s="10"/>
      <c r="E125" s="13" t="n">
        <f aca="false">IFERROR(YEAR(A125),"")</f>
        <v>1899</v>
      </c>
      <c r="F125" s="13" t="n">
        <f aca="false">IFERROR(MONTH(A125),"")</f>
        <v>12</v>
      </c>
    </row>
    <row r="126" customFormat="false" ht="15" hidden="false" customHeight="false" outlineLevel="0" collapsed="false">
      <c r="A126" s="11"/>
      <c r="B126" s="10"/>
      <c r="C126" s="12"/>
      <c r="D126" s="10"/>
      <c r="E126" s="13" t="n">
        <f aca="false">IFERROR(YEAR(A126),"")</f>
        <v>1899</v>
      </c>
      <c r="F126" s="13" t="n">
        <f aca="false">IFERROR(MONTH(A126),"")</f>
        <v>12</v>
      </c>
    </row>
    <row r="127" customFormat="false" ht="15" hidden="false" customHeight="false" outlineLevel="0" collapsed="false">
      <c r="A127" s="11"/>
      <c r="B127" s="10"/>
      <c r="C127" s="12"/>
      <c r="D127" s="10"/>
      <c r="E127" s="13" t="n">
        <f aca="false">IFERROR(YEAR(A127),"")</f>
        <v>1899</v>
      </c>
      <c r="F127" s="13" t="n">
        <f aca="false">IFERROR(MONTH(A127),"")</f>
        <v>12</v>
      </c>
    </row>
    <row r="128" customFormat="false" ht="15" hidden="false" customHeight="false" outlineLevel="0" collapsed="false">
      <c r="A128" s="11"/>
      <c r="B128" s="10"/>
      <c r="C128" s="12"/>
      <c r="D128" s="10"/>
      <c r="E128" s="13" t="n">
        <f aca="false">IFERROR(YEAR(A128),"")</f>
        <v>1899</v>
      </c>
      <c r="F128" s="13" t="n">
        <f aca="false">IFERROR(MONTH(A128),"")</f>
        <v>12</v>
      </c>
    </row>
    <row r="129" customFormat="false" ht="15" hidden="false" customHeight="false" outlineLevel="0" collapsed="false">
      <c r="A129" s="11"/>
      <c r="B129" s="10"/>
      <c r="C129" s="12"/>
      <c r="D129" s="10"/>
      <c r="E129" s="13" t="n">
        <f aca="false">IFERROR(YEAR(A129),"")</f>
        <v>1899</v>
      </c>
      <c r="F129" s="13" t="n">
        <f aca="false">IFERROR(MONTH(A129),"")</f>
        <v>12</v>
      </c>
    </row>
    <row r="130" customFormat="false" ht="15" hidden="false" customHeight="false" outlineLevel="0" collapsed="false">
      <c r="A130" s="11"/>
      <c r="B130" s="10"/>
      <c r="C130" s="12"/>
      <c r="D130" s="10"/>
      <c r="E130" s="13" t="n">
        <f aca="false">IFERROR(YEAR(A130),"")</f>
        <v>1899</v>
      </c>
      <c r="F130" s="13" t="n">
        <f aca="false">IFERROR(MONTH(A130),"")</f>
        <v>12</v>
      </c>
    </row>
    <row r="131" customFormat="false" ht="15" hidden="false" customHeight="false" outlineLevel="0" collapsed="false">
      <c r="A131" s="11"/>
      <c r="B131" s="10"/>
      <c r="C131" s="12"/>
      <c r="D131" s="10"/>
      <c r="E131" s="13" t="n">
        <f aca="false">IFERROR(YEAR(A131),"")</f>
        <v>1899</v>
      </c>
      <c r="F131" s="13" t="n">
        <f aca="false">IFERROR(MONTH(A131),"")</f>
        <v>12</v>
      </c>
    </row>
    <row r="132" customFormat="false" ht="15" hidden="false" customHeight="false" outlineLevel="0" collapsed="false">
      <c r="A132" s="11"/>
      <c r="B132" s="10"/>
      <c r="C132" s="12"/>
      <c r="D132" s="10"/>
      <c r="E132" s="13" t="n">
        <f aca="false">IFERROR(YEAR(A132),"")</f>
        <v>1899</v>
      </c>
      <c r="F132" s="13" t="n">
        <f aca="false">IFERROR(MONTH(A132),"")</f>
        <v>12</v>
      </c>
    </row>
    <row r="133" customFormat="false" ht="15" hidden="false" customHeight="false" outlineLevel="0" collapsed="false">
      <c r="A133" s="11"/>
      <c r="B133" s="10"/>
      <c r="C133" s="12"/>
      <c r="D133" s="10"/>
      <c r="E133" s="13" t="n">
        <f aca="false">IFERROR(YEAR(A133),"")</f>
        <v>1899</v>
      </c>
      <c r="F133" s="13" t="n">
        <f aca="false">IFERROR(MONTH(A133),"")</f>
        <v>12</v>
      </c>
    </row>
    <row r="134" customFormat="false" ht="15" hidden="false" customHeight="false" outlineLevel="0" collapsed="false">
      <c r="A134" s="11"/>
      <c r="B134" s="10"/>
      <c r="C134" s="12"/>
      <c r="D134" s="10"/>
      <c r="E134" s="13" t="n">
        <f aca="false">IFERROR(YEAR(A134),"")</f>
        <v>1899</v>
      </c>
      <c r="F134" s="13" t="n">
        <f aca="false">IFERROR(MONTH(A134),"")</f>
        <v>12</v>
      </c>
    </row>
    <row r="135" customFormat="false" ht="15" hidden="false" customHeight="false" outlineLevel="0" collapsed="false">
      <c r="A135" s="11"/>
      <c r="B135" s="10"/>
      <c r="C135" s="12"/>
      <c r="D135" s="10"/>
      <c r="E135" s="13" t="n">
        <f aca="false">IFERROR(YEAR(A135),"")</f>
        <v>1899</v>
      </c>
      <c r="F135" s="13" t="n">
        <f aca="false">IFERROR(MONTH(A135),"")</f>
        <v>12</v>
      </c>
    </row>
    <row r="136" customFormat="false" ht="15" hidden="false" customHeight="false" outlineLevel="0" collapsed="false">
      <c r="A136" s="11"/>
      <c r="B136" s="10"/>
      <c r="C136" s="12"/>
      <c r="D136" s="10"/>
      <c r="E136" s="13" t="n">
        <f aca="false">IFERROR(YEAR(A136),"")</f>
        <v>1899</v>
      </c>
      <c r="F136" s="13" t="n">
        <f aca="false">IFERROR(MONTH(A136),"")</f>
        <v>12</v>
      </c>
    </row>
    <row r="137" customFormat="false" ht="15" hidden="false" customHeight="false" outlineLevel="0" collapsed="false">
      <c r="A137" s="11"/>
      <c r="B137" s="10"/>
      <c r="C137" s="12"/>
      <c r="D137" s="10"/>
      <c r="E137" s="13" t="n">
        <f aca="false">IFERROR(YEAR(A137),"")</f>
        <v>1899</v>
      </c>
      <c r="F137" s="13" t="n">
        <f aca="false">IFERROR(MONTH(A137),"")</f>
        <v>12</v>
      </c>
    </row>
    <row r="138" customFormat="false" ht="15" hidden="false" customHeight="false" outlineLevel="0" collapsed="false">
      <c r="A138" s="11"/>
      <c r="B138" s="10"/>
      <c r="C138" s="12"/>
      <c r="D138" s="10"/>
      <c r="E138" s="13" t="n">
        <f aca="false">IFERROR(YEAR(A138),"")</f>
        <v>1899</v>
      </c>
      <c r="F138" s="13" t="n">
        <f aca="false">IFERROR(MONTH(A138),"")</f>
        <v>12</v>
      </c>
    </row>
    <row r="139" customFormat="false" ht="15" hidden="false" customHeight="false" outlineLevel="0" collapsed="false">
      <c r="A139" s="11"/>
      <c r="B139" s="10"/>
      <c r="C139" s="12"/>
      <c r="D139" s="10"/>
      <c r="E139" s="13" t="n">
        <f aca="false">IFERROR(YEAR(A139),"")</f>
        <v>1899</v>
      </c>
      <c r="F139" s="13" t="n">
        <f aca="false">IFERROR(MONTH(A139),"")</f>
        <v>12</v>
      </c>
    </row>
    <row r="140" customFormat="false" ht="15" hidden="false" customHeight="false" outlineLevel="0" collapsed="false">
      <c r="A140" s="11"/>
      <c r="B140" s="10"/>
      <c r="C140" s="12"/>
      <c r="D140" s="10"/>
      <c r="E140" s="13" t="n">
        <f aca="false">IFERROR(YEAR(A140),"")</f>
        <v>1899</v>
      </c>
      <c r="F140" s="13" t="n">
        <f aca="false">IFERROR(MONTH(A140),"")</f>
        <v>12</v>
      </c>
    </row>
    <row r="141" customFormat="false" ht="15" hidden="false" customHeight="false" outlineLevel="0" collapsed="false">
      <c r="A141" s="11"/>
      <c r="B141" s="10"/>
      <c r="C141" s="12"/>
      <c r="D141" s="10"/>
      <c r="E141" s="13" t="n">
        <f aca="false">IFERROR(YEAR(A141),"")</f>
        <v>1899</v>
      </c>
      <c r="F141" s="13" t="n">
        <f aca="false">IFERROR(MONTH(A141),"")</f>
        <v>12</v>
      </c>
    </row>
    <row r="142" customFormat="false" ht="15" hidden="false" customHeight="false" outlineLevel="0" collapsed="false">
      <c r="A142" s="11"/>
      <c r="B142" s="10"/>
      <c r="C142" s="12"/>
      <c r="D142" s="10"/>
      <c r="E142" s="13" t="n">
        <f aca="false">IFERROR(YEAR(A142),"")</f>
        <v>1899</v>
      </c>
      <c r="F142" s="13" t="n">
        <f aca="false">IFERROR(MONTH(A142),"")</f>
        <v>12</v>
      </c>
    </row>
    <row r="143" customFormat="false" ht="15" hidden="false" customHeight="false" outlineLevel="0" collapsed="false">
      <c r="A143" s="11"/>
      <c r="B143" s="10"/>
      <c r="C143" s="12"/>
      <c r="D143" s="10"/>
      <c r="E143" s="13" t="n">
        <f aca="false">IFERROR(YEAR(A143),"")</f>
        <v>1899</v>
      </c>
      <c r="F143" s="13" t="n">
        <f aca="false">IFERROR(MONTH(A143),"")</f>
        <v>12</v>
      </c>
    </row>
    <row r="144" customFormat="false" ht="15" hidden="false" customHeight="false" outlineLevel="0" collapsed="false">
      <c r="A144" s="11"/>
      <c r="B144" s="10"/>
      <c r="C144" s="12"/>
      <c r="D144" s="10"/>
      <c r="E144" s="13" t="n">
        <f aca="false">IFERROR(YEAR(A144),"")</f>
        <v>1899</v>
      </c>
      <c r="F144" s="13" t="n">
        <f aca="false">IFERROR(MONTH(A144),"")</f>
        <v>12</v>
      </c>
    </row>
    <row r="145" customFormat="false" ht="15" hidden="false" customHeight="false" outlineLevel="0" collapsed="false">
      <c r="A145" s="11"/>
      <c r="B145" s="10"/>
      <c r="C145" s="12"/>
      <c r="D145" s="10"/>
      <c r="E145" s="13" t="n">
        <f aca="false">IFERROR(YEAR(A145),"")</f>
        <v>1899</v>
      </c>
      <c r="F145" s="13" t="n">
        <f aca="false">IFERROR(MONTH(A145),"")</f>
        <v>12</v>
      </c>
    </row>
    <row r="146" customFormat="false" ht="15" hidden="false" customHeight="false" outlineLevel="0" collapsed="false">
      <c r="A146" s="11"/>
      <c r="B146" s="10"/>
      <c r="C146" s="12"/>
      <c r="D146" s="10"/>
      <c r="E146" s="13" t="n">
        <f aca="false">IFERROR(YEAR(A146),"")</f>
        <v>1899</v>
      </c>
      <c r="F146" s="13" t="n">
        <f aca="false">IFERROR(MONTH(A146),"")</f>
        <v>12</v>
      </c>
    </row>
    <row r="147" customFormat="false" ht="15" hidden="false" customHeight="false" outlineLevel="0" collapsed="false">
      <c r="A147" s="11"/>
      <c r="B147" s="10"/>
      <c r="C147" s="12"/>
      <c r="D147" s="10"/>
      <c r="E147" s="13" t="n">
        <f aca="false">IFERROR(YEAR(A147),"")</f>
        <v>1899</v>
      </c>
      <c r="F147" s="13" t="n">
        <f aca="false">IFERROR(MONTH(A147),"")</f>
        <v>12</v>
      </c>
    </row>
    <row r="148" customFormat="false" ht="15" hidden="false" customHeight="false" outlineLevel="0" collapsed="false">
      <c r="A148" s="11"/>
      <c r="B148" s="10"/>
      <c r="C148" s="12"/>
      <c r="D148" s="10"/>
      <c r="E148" s="13" t="n">
        <f aca="false">IFERROR(YEAR(A148),"")</f>
        <v>1899</v>
      </c>
      <c r="F148" s="13" t="n">
        <f aca="false">IFERROR(MONTH(A148),"")</f>
        <v>12</v>
      </c>
    </row>
    <row r="149" customFormat="false" ht="15" hidden="false" customHeight="false" outlineLevel="0" collapsed="false">
      <c r="A149" s="11"/>
      <c r="B149" s="10"/>
      <c r="C149" s="12"/>
      <c r="D149" s="10"/>
      <c r="E149" s="13" t="n">
        <f aca="false">IFERROR(YEAR(A149),"")</f>
        <v>1899</v>
      </c>
      <c r="F149" s="13" t="n">
        <f aca="false">IFERROR(MONTH(A149),"")</f>
        <v>12</v>
      </c>
    </row>
    <row r="150" customFormat="false" ht="15" hidden="false" customHeight="false" outlineLevel="0" collapsed="false">
      <c r="A150" s="11"/>
      <c r="B150" s="10"/>
      <c r="C150" s="12"/>
      <c r="D150" s="10"/>
      <c r="E150" s="13" t="n">
        <f aca="false">IFERROR(YEAR(A150),"")</f>
        <v>1899</v>
      </c>
      <c r="F150" s="13" t="n">
        <f aca="false">IFERROR(MONTH(A150),"")</f>
        <v>12</v>
      </c>
    </row>
    <row r="151" customFormat="false" ht="15" hidden="false" customHeight="false" outlineLevel="0" collapsed="false">
      <c r="A151" s="11"/>
      <c r="B151" s="10"/>
      <c r="C151" s="12"/>
      <c r="D151" s="10"/>
      <c r="E151" s="13" t="n">
        <f aca="false">IFERROR(YEAR(A151),"")</f>
        <v>1899</v>
      </c>
      <c r="F151" s="13" t="n">
        <f aca="false">IFERROR(MONTH(A151),"")</f>
        <v>12</v>
      </c>
    </row>
    <row r="152" customFormat="false" ht="15" hidden="false" customHeight="false" outlineLevel="0" collapsed="false">
      <c r="A152" s="11"/>
      <c r="B152" s="10"/>
      <c r="C152" s="12"/>
      <c r="D152" s="10"/>
      <c r="E152" s="13" t="n">
        <f aca="false">IFERROR(YEAR(A152),"")</f>
        <v>1899</v>
      </c>
      <c r="F152" s="13" t="n">
        <f aca="false">IFERROR(MONTH(A152),"")</f>
        <v>12</v>
      </c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B3:B152" type="list">
      <formula1>Members!$B$3:$B$102</formula1>
      <formula2>0</formula2>
    </dataValidation>
    <dataValidation allowBlank="true" errorStyle="stop" operator="between" showDropDown="false" showErrorMessage="false" showInputMessage="false" sqref="D3:D152" type="list">
      <formula1>"Card,Bank Transfer,Cash,Other"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</cols>
  <sheetData>
    <row r="1" customFormat="false" ht="30" hidden="false" customHeight="true" outlineLevel="0" collapsed="false">
      <c r="A1" s="14" t="s">
        <v>40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15" t="s">
        <v>41</v>
      </c>
      <c r="B2" s="15"/>
      <c r="C2" s="15"/>
      <c r="D2" s="15"/>
      <c r="E2" s="15"/>
      <c r="F2" s="15"/>
      <c r="G2" s="15"/>
      <c r="H2" s="15"/>
    </row>
    <row r="3" customFormat="false" ht="15" hidden="false" customHeight="false" outlineLevel="0" collapsed="false">
      <c r="A3" s="6" t="s">
        <v>38</v>
      </c>
      <c r="B3" s="16" t="n">
        <v>2026</v>
      </c>
      <c r="C3" s="17" t="s">
        <v>39</v>
      </c>
      <c r="D3" s="18" t="n">
        <v>1</v>
      </c>
    </row>
    <row r="5" customFormat="false" ht="24" hidden="false" customHeight="true" outlineLevel="0" collapsed="false">
      <c r="A5" s="19" t="s">
        <v>42</v>
      </c>
      <c r="B5" s="19" t="s">
        <v>43</v>
      </c>
      <c r="C5" s="19" t="s">
        <v>44</v>
      </c>
      <c r="D5" s="19" t="s">
        <v>45</v>
      </c>
      <c r="E5" s="20"/>
      <c r="F5" s="20"/>
      <c r="G5" s="20"/>
      <c r="H5" s="20"/>
    </row>
    <row r="6" customFormat="false" ht="30" hidden="false" customHeight="true" outlineLevel="0" collapsed="false">
      <c r="A6" s="21" t="n">
        <f aca="false">COUNTIF(Members!$G$3:$G$102,"Active")</f>
        <v>0</v>
      </c>
      <c r="B6" s="22" t="n">
        <f aca="false">SUMIFS(Payments!$C$3:$C$152,Payments!$E$3:$E$152,$B$3,Payments!$F$3:$F$152,$D$3)</f>
        <v>0</v>
      </c>
      <c r="C6" s="22" t="n">
        <f aca="false">IFERROR(B6/A6,0)</f>
        <v>0</v>
      </c>
      <c r="D6" s="21" t="n">
        <f aca="false">COUNTIFS(Members!$G$3:$G$102,"Active",Members!$I$3:$I$102,"&gt;=0",Members!$I$3:$I$102,"&lt;=7")</f>
        <v>0</v>
      </c>
      <c r="E6" s="20"/>
      <c r="F6" s="20"/>
      <c r="G6" s="20"/>
      <c r="H6" s="20"/>
    </row>
    <row r="9" customFormat="false" ht="15" hidden="false" customHeight="false" outlineLevel="0" collapsed="false">
      <c r="A9" s="6" t="s">
        <v>46</v>
      </c>
    </row>
    <row r="10" customFormat="false" ht="15" hidden="false" customHeight="false" outlineLevel="0" collapsed="false">
      <c r="A10" s="23" t="s">
        <v>26</v>
      </c>
      <c r="B10" s="23" t="s">
        <v>47</v>
      </c>
    </row>
    <row r="11" customFormat="false" ht="15" hidden="false" customHeight="false" outlineLevel="0" collapsed="false">
      <c r="A11" s="7" t="s">
        <v>13</v>
      </c>
      <c r="B11" s="7" t="n">
        <f aca="false">COUNTIFS(Members!$D$3:$D$102,"Monthly",Members!$G$3:$G$102,"Active")</f>
        <v>0</v>
      </c>
    </row>
    <row r="12" customFormat="false" ht="15" hidden="false" customHeight="false" outlineLevel="0" collapsed="false">
      <c r="A12" s="7" t="s">
        <v>15</v>
      </c>
      <c r="B12" s="7" t="n">
        <f aca="false">COUNTIFS(Members!$D$3:$D$102,"Quarterly",Members!$G$3:$G$102,"Active")</f>
        <v>0</v>
      </c>
    </row>
    <row r="13" customFormat="false" ht="15" hidden="false" customHeight="false" outlineLevel="0" collapsed="false">
      <c r="A13" s="7" t="s">
        <v>17</v>
      </c>
      <c r="B13" s="7" t="n">
        <f aca="false">COUNTIFS(Members!$D$3:$D$102,"Annual",Members!$G$3:$G$102,"Active")</f>
        <v>0</v>
      </c>
    </row>
    <row r="14" customFormat="false" ht="15" hidden="false" customHeight="false" outlineLevel="0" collapsed="false">
      <c r="A14" s="7" t="s">
        <v>19</v>
      </c>
      <c r="B14" s="7" t="n">
        <f aca="false">COUNTIFS(Members!$D$3:$D$102,"Day Pass",Members!$G$3:$G$102,"Active")</f>
        <v>0</v>
      </c>
    </row>
    <row r="15" customFormat="false" ht="15" hidden="false" customHeight="false" outlineLevel="0" collapsed="false">
      <c r="A15" s="7" t="s">
        <v>21</v>
      </c>
      <c r="B15" s="7" t="n">
        <f aca="false">COUNTIFS(Members!$D$3:$D$102,"Class Pack",Members!$G$3:$G$102,"Active")</f>
        <v>0</v>
      </c>
    </row>
    <row r="20" customFormat="false" ht="15" hidden="false" customHeight="false" outlineLevel="0" collapsed="false">
      <c r="A20" s="6" t="s">
        <v>48</v>
      </c>
    </row>
    <row r="21" customFormat="false" ht="15" hidden="false" customHeight="false" outlineLevel="0" collapsed="false">
      <c r="A21" s="23" t="s">
        <v>39</v>
      </c>
      <c r="B21" s="23" t="s">
        <v>49</v>
      </c>
    </row>
    <row r="22" customFormat="false" ht="15" hidden="false" customHeight="false" outlineLevel="0" collapsed="false">
      <c r="A22" s="7" t="s">
        <v>50</v>
      </c>
      <c r="B22" s="24" t="n">
        <f aca="false">SUMIFS(Payments!$C$3:$C$152,Payments!$E$3:$E$152,$B$3,Payments!$F$3:$F$152,1)</f>
        <v>0</v>
      </c>
    </row>
    <row r="23" customFormat="false" ht="15" hidden="false" customHeight="false" outlineLevel="0" collapsed="false">
      <c r="A23" s="7" t="s">
        <v>51</v>
      </c>
      <c r="B23" s="24" t="n">
        <f aca="false">SUMIFS(Payments!$C$3:$C$152,Payments!$E$3:$E$152,$B$3,Payments!$F$3:$F$152,2)</f>
        <v>0</v>
      </c>
    </row>
    <row r="24" customFormat="false" ht="15" hidden="false" customHeight="false" outlineLevel="0" collapsed="false">
      <c r="A24" s="7" t="s">
        <v>52</v>
      </c>
      <c r="B24" s="24" t="n">
        <f aca="false">SUMIFS(Payments!$C$3:$C$152,Payments!$E$3:$E$152,$B$3,Payments!$F$3:$F$152,3)</f>
        <v>0</v>
      </c>
    </row>
    <row r="25" customFormat="false" ht="15" hidden="false" customHeight="false" outlineLevel="0" collapsed="false">
      <c r="A25" s="7" t="s">
        <v>53</v>
      </c>
      <c r="B25" s="24" t="n">
        <f aca="false">SUMIFS(Payments!$C$3:$C$152,Payments!$E$3:$E$152,$B$3,Payments!$F$3:$F$152,4)</f>
        <v>0</v>
      </c>
    </row>
    <row r="26" customFormat="false" ht="15" hidden="false" customHeight="false" outlineLevel="0" collapsed="false">
      <c r="A26" s="7" t="s">
        <v>54</v>
      </c>
      <c r="B26" s="24" t="n">
        <f aca="false">SUMIFS(Payments!$C$3:$C$152,Payments!$E$3:$E$152,$B$3,Payments!$F$3:$F$152,5)</f>
        <v>0</v>
      </c>
    </row>
    <row r="27" customFormat="false" ht="15" hidden="false" customHeight="false" outlineLevel="0" collapsed="false">
      <c r="A27" s="7" t="s">
        <v>55</v>
      </c>
      <c r="B27" s="24" t="n">
        <f aca="false">SUMIFS(Payments!$C$3:$C$152,Payments!$E$3:$E$152,$B$3,Payments!$F$3:$F$152,6)</f>
        <v>0</v>
      </c>
    </row>
    <row r="28" customFormat="false" ht="15" hidden="false" customHeight="false" outlineLevel="0" collapsed="false">
      <c r="A28" s="7" t="s">
        <v>56</v>
      </c>
      <c r="B28" s="24" t="n">
        <f aca="false">SUMIFS(Payments!$C$3:$C$152,Payments!$E$3:$E$152,$B$3,Payments!$F$3:$F$152,7)</f>
        <v>0</v>
      </c>
    </row>
    <row r="29" customFormat="false" ht="15" hidden="false" customHeight="false" outlineLevel="0" collapsed="false">
      <c r="A29" s="7" t="s">
        <v>57</v>
      </c>
      <c r="B29" s="24" t="n">
        <f aca="false">SUMIFS(Payments!$C$3:$C$152,Payments!$E$3:$E$152,$B$3,Payments!$F$3:$F$152,8)</f>
        <v>0</v>
      </c>
    </row>
    <row r="30" customFormat="false" ht="15" hidden="false" customHeight="false" outlineLevel="0" collapsed="false">
      <c r="A30" s="7" t="s">
        <v>58</v>
      </c>
      <c r="B30" s="24" t="n">
        <f aca="false">SUMIFS(Payments!$C$3:$C$152,Payments!$E$3:$E$152,$B$3,Payments!$F$3:$F$152,9)</f>
        <v>0</v>
      </c>
    </row>
    <row r="31" customFormat="false" ht="15" hidden="false" customHeight="false" outlineLevel="0" collapsed="false">
      <c r="A31" s="7" t="s">
        <v>59</v>
      </c>
      <c r="B31" s="24" t="n">
        <f aca="false">SUMIFS(Payments!$C$3:$C$152,Payments!$E$3:$E$152,$B$3,Payments!$F$3:$F$152,10)</f>
        <v>0</v>
      </c>
    </row>
    <row r="32" customFormat="false" ht="15" hidden="false" customHeight="false" outlineLevel="0" collapsed="false">
      <c r="A32" s="7" t="s">
        <v>60</v>
      </c>
      <c r="B32" s="24" t="n">
        <f aca="false">SUMIFS(Payments!$C$3:$C$152,Payments!$E$3:$E$152,$B$3,Payments!$F$3:$F$152,11)</f>
        <v>0</v>
      </c>
    </row>
    <row r="33" customFormat="false" ht="15" hidden="false" customHeight="false" outlineLevel="0" collapsed="false">
      <c r="A33" s="7" t="s">
        <v>61</v>
      </c>
      <c r="B33" s="24" t="n">
        <f aca="false">SUMIFS(Payments!$C$3:$C$152,Payments!$E$3:$E$152,$B$3,Payments!$F$3:$F$152,12)</f>
        <v>0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63</v>
      </c>
      <c r="B3" s="9" t="s">
        <v>64</v>
      </c>
    </row>
    <row r="4" customFormat="false" ht="25.5" hidden="false" customHeight="true" outlineLevel="0" collapsed="false">
      <c r="A4" s="7" t="s">
        <v>65</v>
      </c>
      <c r="B4" s="25" t="s">
        <v>66</v>
      </c>
    </row>
    <row r="5" customFormat="false" ht="25.5" hidden="false" customHeight="true" outlineLevel="0" collapsed="false">
      <c r="A5" s="7" t="s">
        <v>67</v>
      </c>
      <c r="B5" s="25" t="s">
        <v>68</v>
      </c>
    </row>
    <row r="6" customFormat="false" ht="25.5" hidden="false" customHeight="true" outlineLevel="0" collapsed="false">
      <c r="A6" s="7" t="s">
        <v>69</v>
      </c>
      <c r="B6" s="25" t="s">
        <v>70</v>
      </c>
    </row>
    <row r="7" customFormat="false" ht="25.5" hidden="false" customHeight="true" outlineLevel="0" collapsed="false">
      <c r="A7" s="7" t="s">
        <v>71</v>
      </c>
      <c r="B7" s="25" t="s">
        <v>72</v>
      </c>
    </row>
    <row r="8" customFormat="false" ht="25.5" hidden="false" customHeight="true" outlineLevel="0" collapsed="false">
      <c r="A8" s="7" t="s">
        <v>73</v>
      </c>
      <c r="B8" s="25" t="s">
        <v>74</v>
      </c>
    </row>
    <row r="9" customFormat="false" ht="25.5" hidden="false" customHeight="true" outlineLevel="0" collapsed="false">
      <c r="A9" s="7" t="s">
        <v>75</v>
      </c>
      <c r="B9" s="25" t="s">
        <v>76</v>
      </c>
    </row>
    <row r="11" customFormat="false" ht="15" hidden="false" customHeight="false" outlineLevel="0" collapsed="false">
      <c r="A11" s="3" t="s">
        <v>7</v>
      </c>
      <c r="B11" s="3"/>
    </row>
  </sheetData>
  <mergeCells count="2">
    <mergeCell ref="A1:H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2026-08-16T03:21:47Z</dcterms:created>
  <dc:creator>openpyxl</dc:creator>
  <dc:description/>
  <dc:language>en-US</dc:language>
  <cp:lastModifiedBy/>
  <dcterms:modified xsi:type="dcterms:W3CDTF">2026-08-16T03:22:13Z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